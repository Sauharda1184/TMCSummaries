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ta" sheetId="2" state="visible" r:id="rId2"/>
    <sheet name="Dashboard" sheetId="3" state="visible" r:id="rId3"/>
    <sheet name="Paired Before-After" sheetId="4" state="visible" r:id="rId4"/>
    <sheet name="All Intersections (filterable)" sheetId="5" state="visible" r:id="rId5"/>
    <sheet name="Consultant Data" sheetId="6" state="visible" r:id="rId6"/>
    <sheet name="Consultant 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1"/>
    </font>
    <font>
      <b val="1"/>
      <sz val="13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1" fontId="0" fillId="0" borderId="0" pivotButton="0" quotePrefix="0" xfId="0"/>
    <xf numFmtId="0" fontId="5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Baseline: GEH by Intersection (sorted)</a:t>
            </a:r>
          </a:p>
        </rich>
      </tx>
    </title>
    <plotArea>
      <barChart>
        <barDir val="col"/>
        <grouping val="clustered"/>
        <ser>
          <idx val="0"/>
          <order val="0"/>
          <tx>
            <v>GEH</v>
          </tx>
          <spPr>
            <a:ln>
              <a:prstDash val="solid"/>
            </a:ln>
          </spPr>
          <cat>
            <numRef>
              <f>'Data'!$C$2:$C$49</f>
            </numRef>
          </cat>
          <val>
            <numRef>
              <f>'Data'!$J$2:$J$49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GEH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1st Calibration: GEH by Intersection (sorted)</a:t>
            </a:r>
          </a:p>
        </rich>
      </tx>
    </title>
    <plotArea>
      <barChart>
        <barDir val="col"/>
        <grouping val="clustered"/>
        <ser>
          <idx val="0"/>
          <order val="0"/>
          <tx>
            <v>GEH</v>
          </tx>
          <spPr>
            <a:ln>
              <a:prstDash val="solid"/>
            </a:ln>
          </spPr>
          <cat>
            <numRef>
              <f>'Data'!$C$50:$C$96</f>
            </numRef>
          </cat>
          <val>
            <numRef>
              <f>'Data'!$J$50:$J$96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GEH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Baseline: Manual vs. Vision Total</a:t>
            </a:r>
          </a:p>
        </rich>
      </tx>
    </title>
    <plotArea>
      <scatterChart>
        <ser>
          <idx val="0"/>
          <order val="0"/>
          <tx>
            <v>Intersections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'Data'!$F$2:$F$49</f>
            </numRef>
          </xVal>
          <yVal>
            <numRef>
              <f>'Data'!$G$2:$G$49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Manual Total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Vision Total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1st Calibration: Manual vs. Vision Total</a:t>
            </a:r>
          </a:p>
        </rich>
      </tx>
    </title>
    <plotArea>
      <scatterChart>
        <ser>
          <idx val="0"/>
          <order val="0"/>
          <tx>
            <v>Intersections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'Data'!$F$50:$F$96</f>
            </numRef>
          </xVal>
          <yVal>
            <numRef>
              <f>'Data'!$G$50:$G$96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Manual Total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Vision Total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GEH: Baseline vs. 1st Calibration (top 5 by Baseline GEH)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'Paired Before-After'!B4</f>
            </strRef>
          </tx>
          <spPr>
            <a:ln>
              <a:prstDash val="solid"/>
            </a:ln>
          </spPr>
          <cat>
            <numRef>
              <f>'Paired Before-After'!$A$5:$A$9</f>
            </numRef>
          </cat>
          <val>
            <numRef>
              <f>'Paired Before-After'!$B$5:$B$9</f>
            </numRef>
          </val>
        </ser>
        <ser>
          <idx val="1"/>
          <order val="1"/>
          <tx>
            <strRef>
              <f>'Paired Before-After'!C4</f>
            </strRef>
          </tx>
          <spPr>
            <a:ln>
              <a:prstDash val="solid"/>
            </a:ln>
          </spPr>
          <cat>
            <numRef>
              <f>'Paired Before-After'!$A$5:$A$9</f>
            </numRef>
          </cat>
          <val>
            <numRef>
              <f>'Paired Before-After'!$C$5:$C$9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GEH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All intersections — filter/slicer this one by Round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'Data'!J1</f>
            </strRef>
          </tx>
          <spPr>
            <a:ln>
              <a:prstDash val="solid"/>
            </a:ln>
          </spPr>
          <cat>
            <numRef>
              <f>'Data'!$C$2:$C$96</f>
            </numRef>
          </cat>
          <val>
            <numRef>
              <f>'Data'!$J$2:$J$96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GEH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Consultant: GEH by Intersection, as-collected (sorted)</a:t>
            </a:r>
          </a:p>
        </rich>
      </tx>
    </title>
    <plotArea>
      <barChart>
        <barDir val="col"/>
        <grouping val="clustered"/>
        <ser>
          <idx val="0"/>
          <order val="0"/>
          <tx>
            <v>GEH</v>
          </tx>
          <spPr>
            <a:ln>
              <a:prstDash val="solid"/>
            </a:ln>
          </spPr>
          <cat>
            <numRef>
              <f>'Consultant Data'!$B$2:$B$36</f>
            </numRef>
          </cat>
          <val>
            <numRef>
              <f>'Consultant Data'!$J$2:$J$36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GEH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Consultant: GEH by Intersection, hourly rate (sorted)</a:t>
            </a:r>
          </a:p>
        </rich>
      </tx>
    </title>
    <plotArea>
      <barChart>
        <barDir val="col"/>
        <grouping val="clustered"/>
        <ser>
          <idx val="0"/>
          <order val="0"/>
          <tx>
            <v>GEH</v>
          </tx>
          <spPr>
            <a:ln>
              <a:prstDash val="solid"/>
            </a:ln>
          </spPr>
          <cat>
            <numRef>
              <f>'Consultant Data'!$B$2:$B$36</f>
            </numRef>
          </cat>
          <val>
            <numRef>
              <f>'Consultant Data'!$K$2:$K$36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GEH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Consultant vs. Vision Total</a:t>
            </a:r>
          </a:p>
        </rich>
      </tx>
    </title>
    <plotArea>
      <scatterChart>
        <ser>
          <idx val="0"/>
          <order val="0"/>
          <tx>
            <v>Intersections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'Consultant Data'!$F$2:$F$36</f>
            </numRef>
          </xVal>
          <yVal>
            <numRef>
              <f>'Consultant Data'!$G$2:$G$36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Consultant Total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Vision Total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72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43</row>
      <rowOff>0</rowOff>
    </from>
    <ext cx="432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63</row>
      <rowOff>0</rowOff>
    </from>
    <ext cx="432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00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24</row>
      <rowOff>0</rowOff>
    </from>
    <ext cx="72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44</row>
      <rowOff>0</rowOff>
    </from>
    <ext cx="432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C_Data" displayName="TMC_Data" ref="A1:K96" headerRowCount="1">
  <autoFilter ref="A1:K96"/>
  <tableColumns count="11">
    <tableColumn id="1" name="Round"/>
    <tableColumn id="2" name="ID"/>
    <tableColumn id="3" name="Intersection"/>
    <tableColumn id="4" name="Date"/>
    <tableColumn id="5" name="Time of Day"/>
    <tableColumn id="6" name="Manual_Total"/>
    <tableColumn id="7" name="Vision_Total"/>
    <tableColumn id="8" name="Pct_Diff"/>
    <tableColumn id="9" name="Abs_Pct_Diff"/>
    <tableColumn id="10" name="GEH_15min"/>
    <tableColumn id="11" name="GEH_Hourly_Equiv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MC_Consultant" displayName="TMC_Consultant" ref="A1:K36" headerRowCount="1">
  <autoFilter ref="A1:K36"/>
  <tableColumns count="11">
    <tableColumn id="1" name="ID"/>
    <tableColumn id="2" name="Intersection"/>
    <tableColumn id="3" name="Date"/>
    <tableColumn id="4" name="Time of Day"/>
    <tableColumn id="5" name="Duration_Hours"/>
    <tableColumn id="6" name="Consultant_Total"/>
    <tableColumn id="7" name="Vision_Total"/>
    <tableColumn id="8" name="Pct_Diff"/>
    <tableColumn id="9" name="Abs_Pct_Diff"/>
    <tableColumn id="10" name="GEH"/>
    <tableColumn id="11" name="GEH_Hourly_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Vision Camera TMC Accuracy — Live Dashboard</t>
        </is>
      </c>
    </row>
    <row r="3">
      <c r="A3" s="2" t="inlineStr">
        <is>
          <t>What's different about this version</t>
        </is>
      </c>
    </row>
    <row r="4" ht="84" customHeight="1">
      <c r="A4" s="3" t="inlineStr">
        <is>
          <t>This workbook keeps only the raw Manual and Vision counts as data. Every other column — % Difference, GEH, the hourly-equivalent GEH — is a live formula computed from those two counts, and every KPI on the Dashboard tab (means, pass rates) is a live formula over the whole table. Edit a Manual or Vision count on the 'Data' tab and the % Diff/GEH for that row, the KPI tiles, and the charts bound to that row all recalculate automatically — nothing here is a pasted-in number or a static picture of a chart.</t>
        </is>
      </c>
    </row>
    <row r="6">
      <c r="A6" s="2" t="inlineStr">
        <is>
          <t>Project goal</t>
        </is>
      </c>
    </row>
    <row r="7" ht="70" customHeight="1">
      <c r="A7" s="3" t="inlineStr">
        <is>
          <t>Hennepin County's Transportation Operations Department uses a Vision Camera system that automatically generates turning-movement counts (TMC) at signalized intersections — a task traditionally done by a person standing at the intersection with a tally sheet. This project validates those counts by manually counting vehicles at a sample of intersections and comparing the manual counts against what the Vision Camera recorded for the same 15-minute window.</t>
        </is>
      </c>
    </row>
    <row r="9">
      <c r="A9" s="2" t="inlineStr">
        <is>
          <t>Metrics</t>
        </is>
      </c>
    </row>
    <row r="10" ht="84" customHeight="1">
      <c r="A10" s="3" t="inlineStr">
        <is>
          <t>% Difference = (Vision - Manual) / Manual. GEH = sqrt(2*(Vision-Manual)^2 / (Vision+Manual)) — a chi-squared-derived statistic used industry-wide to flag meaningful count discrepancies, weighted by count magnitude. Industry convention treats GEH &lt; 5 (on hourly volumes) as a good match. Because these are 15-minute counts, GEH_Hourly_Equiv (= GEH_15min * 2, matching the sqrt(4) scaling from a 4x volume increase) is also computed, since the conventional threshold was calibrated for hourly data.</t>
        </is>
      </c>
    </row>
    <row r="12">
      <c r="A12" s="2" t="inlineStr">
        <is>
          <t>Scope</t>
        </is>
      </c>
    </row>
    <row r="13" ht="56" customHeight="1">
      <c r="A13" s="3" t="inlineStr">
        <is>
          <t>48 intersections have Baseline data and 47 have 1st Calibration data (of 236 tracked). All rows live in a single Excel Table named TMC_Data on the 'Data' tab, with a 'Round' column distinguishing Baseline from 1st Calibration — this is what lets a single slicer or table filter switch every chart between the two.</t>
        </is>
      </c>
    </row>
    <row r="15">
      <c r="A15" s="2" t="inlineStr">
        <is>
          <t>To add a live filter button (slicer)</t>
        </is>
      </c>
    </row>
    <row r="16" ht="56" customHeight="1">
      <c r="A16" s="3" t="inlineStr">
        <is>
          <t>Click any cell inside the TMC_Data table on the 'Data' tab, then Insert &gt; Slicer &gt; check 'Round'. That gives you a clickable Baseline / 1st Calibration button that filters the table and every chart bound to it — this can't be pre-built from outside Excel without risking a corrupted file, but it's a 2-click action once the table is in front of you.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45" customWidth="1" min="3" max="3"/>
    <col width="12" customWidth="1" min="4" max="4"/>
    <col width="13" customWidth="1" min="5" max="5"/>
    <col width="14" customWidth="1" min="6" max="6"/>
    <col width="14" customWidth="1" min="7" max="7"/>
    <col width="16" customWidth="1" min="8" max="8"/>
    <col width="14" customWidth="1" min="9" max="9"/>
    <col width="32" customWidth="1" min="10" max="10"/>
    <col width="18" customWidth="1" min="11" max="11"/>
  </cols>
  <sheetData>
    <row r="1">
      <c r="A1" s="4" t="inlineStr">
        <is>
          <t>Round</t>
        </is>
      </c>
      <c r="B1" s="4" t="inlineStr">
        <is>
          <t>ID</t>
        </is>
      </c>
      <c r="C1" s="4" t="inlineStr">
        <is>
          <t>Intersection</t>
        </is>
      </c>
      <c r="D1" s="4" t="inlineStr">
        <is>
          <t>Date</t>
        </is>
      </c>
      <c r="E1" s="4" t="inlineStr">
        <is>
          <t>Time of Day</t>
        </is>
      </c>
      <c r="F1" s="4" t="inlineStr">
        <is>
          <t>Manual_Total</t>
        </is>
      </c>
      <c r="G1" s="4" t="inlineStr">
        <is>
          <t>Vision_Total</t>
        </is>
      </c>
      <c r="H1" s="4" t="inlineStr">
        <is>
          <t>Pct_Diff</t>
        </is>
      </c>
      <c r="I1" s="4" t="inlineStr">
        <is>
          <t>Abs_Pct_Diff</t>
        </is>
      </c>
      <c r="J1" s="4" t="inlineStr">
        <is>
          <t>GEH_15min</t>
        </is>
      </c>
      <c r="K1" s="4" t="inlineStr">
        <is>
          <t>GEH_Hourly_Equiv</t>
        </is>
      </c>
    </row>
    <row r="2">
      <c r="A2" t="inlineStr">
        <is>
          <t>Baseline</t>
        </is>
      </c>
      <c r="B2" t="n">
        <v>8051900</v>
      </c>
      <c r="C2" t="inlineStr">
        <is>
          <t>CSAH 109 (85th Ave N) at Edinbrook Pkwy N</t>
        </is>
      </c>
      <c r="D2" t="inlineStr">
        <is>
          <t>2025-06-10</t>
        </is>
      </c>
      <c r="E2" t="inlineStr">
        <is>
          <t>07:45:00</t>
        </is>
      </c>
      <c r="F2" t="n">
        <v>254</v>
      </c>
      <c r="G2" t="n">
        <v>405</v>
      </c>
      <c r="H2" s="5">
        <f>(G2-F2)/F2</f>
        <v/>
      </c>
      <c r="I2" s="5">
        <f>ABS(H2)</f>
        <v/>
      </c>
      <c r="J2" s="6">
        <f>SQRT(2*(G2-F2)^2/(G2+F2))</f>
        <v/>
      </c>
      <c r="K2" s="6">
        <f>J2*2</f>
        <v/>
      </c>
    </row>
    <row r="3">
      <c r="A3" t="inlineStr">
        <is>
          <t>Baseline</t>
        </is>
      </c>
      <c r="B3" t="n">
        <v>8014800</v>
      </c>
      <c r="C3" t="inlineStr">
        <is>
          <t>CSAH 136 (Silver Lake Rd) at 33rd Ave NE</t>
        </is>
      </c>
      <c r="D3" t="inlineStr">
        <is>
          <t>2025-03-31</t>
        </is>
      </c>
      <c r="E3" t="inlineStr">
        <is>
          <t>07:45:00</t>
        </is>
      </c>
      <c r="F3" t="n">
        <v>176</v>
      </c>
      <c r="G3" t="n">
        <v>290</v>
      </c>
      <c r="H3" s="5">
        <f>(G3-F3)/F3</f>
        <v/>
      </c>
      <c r="I3" s="5">
        <f>ABS(H3)</f>
        <v/>
      </c>
      <c r="J3" s="6">
        <f>SQRT(2*(G3-F3)^2/(G3+F3))</f>
        <v/>
      </c>
      <c r="K3" s="6">
        <f>J3*2</f>
        <v/>
      </c>
    </row>
    <row r="4">
      <c r="A4" t="inlineStr">
        <is>
          <t>Baseline</t>
        </is>
      </c>
      <c r="B4" t="n">
        <v>8002100</v>
      </c>
      <c r="C4" t="inlineStr">
        <is>
          <t>CSAH 3 (Excelsior Blvd) at Brookside Ave / Alabama Ave S BACKHAUL</t>
        </is>
      </c>
      <c r="D4" t="inlineStr">
        <is>
          <t>2025-03-11</t>
        </is>
      </c>
      <c r="E4" t="inlineStr">
        <is>
          <t>16:15:00</t>
        </is>
      </c>
      <c r="F4" t="n">
        <v>469</v>
      </c>
      <c r="G4" t="n">
        <v>345</v>
      </c>
      <c r="H4" s="5">
        <f>(G4-F4)/F4</f>
        <v/>
      </c>
      <c r="I4" s="5">
        <f>ABS(H4)</f>
        <v/>
      </c>
      <c r="J4" s="6">
        <f>SQRT(2*(G4-F4)^2/(G4+F4))</f>
        <v/>
      </c>
      <c r="K4" s="6">
        <f>J4*2</f>
        <v/>
      </c>
    </row>
    <row r="5">
      <c r="A5" t="inlineStr">
        <is>
          <t>Baseline</t>
        </is>
      </c>
      <c r="B5" t="n">
        <v>9010690</v>
      </c>
      <c r="C5" t="inlineStr">
        <is>
          <t>CSAH 121 (Maple Grove Pkwy) at Hospital Dr</t>
        </is>
      </c>
      <c r="D5" t="inlineStr">
        <is>
          <t>2025-06-12</t>
        </is>
      </c>
      <c r="E5" t="inlineStr">
        <is>
          <t>08:30:00</t>
        </is>
      </c>
      <c r="F5" t="n">
        <v>390</v>
      </c>
      <c r="G5" t="n">
        <v>505</v>
      </c>
      <c r="H5" s="5">
        <f>(G5-F5)/F5</f>
        <v/>
      </c>
      <c r="I5" s="5">
        <f>ABS(H5)</f>
        <v/>
      </c>
      <c r="J5" s="6">
        <f>SQRT(2*(G5-F5)^2/(G5+F5))</f>
        <v/>
      </c>
      <c r="K5" s="6">
        <f>J5*2</f>
        <v/>
      </c>
    </row>
    <row r="6">
      <c r="A6" t="inlineStr">
        <is>
          <t>Baseline</t>
        </is>
      </c>
      <c r="B6" t="n">
        <v>9010695</v>
      </c>
      <c r="C6" t="inlineStr">
        <is>
          <t>CSAH 121 (Maple Grove Pkwy) at 99th Ave / Grove Cir</t>
        </is>
      </c>
      <c r="D6" t="inlineStr">
        <is>
          <t>2025-06-12</t>
        </is>
      </c>
      <c r="E6" t="inlineStr">
        <is>
          <t>15:15:00</t>
        </is>
      </c>
      <c r="F6" t="n">
        <v>658</v>
      </c>
      <c r="G6" t="n">
        <v>541</v>
      </c>
      <c r="H6" s="5">
        <f>(G6-F6)/F6</f>
        <v/>
      </c>
      <c r="I6" s="5">
        <f>ABS(H6)</f>
        <v/>
      </c>
      <c r="J6" s="6">
        <f>SQRT(2*(G6-F6)^2/(G6+F6))</f>
        <v/>
      </c>
      <c r="K6" s="6">
        <f>J6*2</f>
        <v/>
      </c>
    </row>
    <row r="7">
      <c r="A7" t="inlineStr">
        <is>
          <t>Baseline</t>
        </is>
      </c>
      <c r="B7" t="n">
        <v>8061200</v>
      </c>
      <c r="C7" t="inlineStr">
        <is>
          <t>CSAH 61 (Flying Cloud Dr) at Viking Drive</t>
        </is>
      </c>
      <c r="D7" t="inlineStr">
        <is>
          <t>2026-02-24</t>
        </is>
      </c>
      <c r="E7" t="inlineStr">
        <is>
          <t>15:30:00</t>
        </is>
      </c>
      <c r="F7" t="n">
        <v>322</v>
      </c>
      <c r="G7" t="n">
        <v>250</v>
      </c>
      <c r="H7" s="5">
        <f>(G7-F7)/F7</f>
        <v/>
      </c>
      <c r="I7" s="5">
        <f>ABS(H7)</f>
        <v/>
      </c>
      <c r="J7" s="6">
        <f>SQRT(2*(G7-F7)^2/(G7+F7))</f>
        <v/>
      </c>
      <c r="K7" s="6">
        <f>J7*2</f>
        <v/>
      </c>
    </row>
    <row r="8">
      <c r="A8" t="inlineStr">
        <is>
          <t>Baseline</t>
        </is>
      </c>
      <c r="B8" t="n">
        <v>8037400</v>
      </c>
      <c r="C8" t="inlineStr">
        <is>
          <t xml:space="preserve">CSAH 1 (Pioneer Trail) at Franlo Rd </t>
        </is>
      </c>
      <c r="D8" t="inlineStr">
        <is>
          <t>2025-04-30</t>
        </is>
      </c>
      <c r="E8" t="inlineStr">
        <is>
          <t>07:45:00</t>
        </is>
      </c>
      <c r="F8" t="n">
        <v>308</v>
      </c>
      <c r="G8" t="n">
        <v>245</v>
      </c>
      <c r="H8" s="5">
        <f>(G8-F8)/F8</f>
        <v/>
      </c>
      <c r="I8" s="5">
        <f>ABS(H8)</f>
        <v/>
      </c>
      <c r="J8" s="6">
        <f>SQRT(2*(G8-F8)^2/(G8+F8))</f>
        <v/>
      </c>
      <c r="K8" s="6">
        <f>J8*2</f>
        <v/>
      </c>
    </row>
    <row r="9">
      <c r="A9" t="inlineStr">
        <is>
          <t>Baseline</t>
        </is>
      </c>
      <c r="B9" t="n">
        <v>8026100</v>
      </c>
      <c r="C9" t="inlineStr">
        <is>
          <t>CSAH 152 (Brooklyn Blvd) at 65th Ave N</t>
        </is>
      </c>
      <c r="D9" t="inlineStr">
        <is>
          <t>3035-03-03</t>
        </is>
      </c>
      <c r="E9" t="inlineStr">
        <is>
          <t>09:15:00</t>
        </is>
      </c>
      <c r="F9" t="n">
        <v>476</v>
      </c>
      <c r="G9" t="n">
        <v>408</v>
      </c>
      <c r="H9" s="5">
        <f>(G9-F9)/F9</f>
        <v/>
      </c>
      <c r="I9" s="5">
        <f>ABS(H9)</f>
        <v/>
      </c>
      <c r="J9" s="6">
        <f>SQRT(2*(G9-F9)^2/(G9+F9))</f>
        <v/>
      </c>
      <c r="K9" s="6">
        <f>J9*2</f>
        <v/>
      </c>
    </row>
    <row r="10">
      <c r="A10" t="inlineStr">
        <is>
          <t>Baseline</t>
        </is>
      </c>
      <c r="B10" t="n">
        <v>8054100</v>
      </c>
      <c r="C10" t="inlineStr">
        <is>
          <t>CSAH 19 (Manitou Rd) at Smithtown Rd</t>
        </is>
      </c>
      <c r="D10" t="inlineStr">
        <is>
          <t>2025-06-19</t>
        </is>
      </c>
      <c r="E10" t="inlineStr">
        <is>
          <t>15:45:00</t>
        </is>
      </c>
      <c r="F10" t="n">
        <v>368</v>
      </c>
      <c r="G10" t="n">
        <v>319</v>
      </c>
      <c r="H10" s="5">
        <f>(G10-F10)/F10</f>
        <v/>
      </c>
      <c r="I10" s="5">
        <f>ABS(H10)</f>
        <v/>
      </c>
      <c r="J10" s="6">
        <f>SQRT(2*(G10-F10)^2/(G10+F10))</f>
        <v/>
      </c>
      <c r="K10" s="6">
        <f>J10*2</f>
        <v/>
      </c>
    </row>
    <row r="11">
      <c r="A11" t="inlineStr">
        <is>
          <t>Baseline</t>
        </is>
      </c>
      <c r="B11" t="n">
        <v>8057895</v>
      </c>
      <c r="C11" t="inlineStr">
        <is>
          <t>CSAH 81 (Industrial Blvd) at John Deere Ln</t>
        </is>
      </c>
      <c r="D11" t="inlineStr">
        <is>
          <t>2026-02-17</t>
        </is>
      </c>
      <c r="E11" t="inlineStr">
        <is>
          <t>16:00:00</t>
        </is>
      </c>
      <c r="F11" t="n">
        <v>310</v>
      </c>
      <c r="G11" t="n">
        <v>266</v>
      </c>
      <c r="H11" s="5">
        <f>(G11-F11)/F11</f>
        <v/>
      </c>
      <c r="I11" s="5">
        <f>ABS(H11)</f>
        <v/>
      </c>
      <c r="J11" s="6">
        <f>SQRT(2*(G11-F11)^2/(G11+F11))</f>
        <v/>
      </c>
      <c r="K11" s="6">
        <f>J11*2</f>
        <v/>
      </c>
    </row>
    <row r="12">
      <c r="A12" t="inlineStr">
        <is>
          <t>Baseline</t>
        </is>
      </c>
      <c r="B12" t="n">
        <v>8045400</v>
      </c>
      <c r="C12" t="inlineStr">
        <is>
          <t>CSAH 130 (West Broadway) at 76th Ave N</t>
        </is>
      </c>
      <c r="D12" t="inlineStr">
        <is>
          <t>2025-06-13</t>
        </is>
      </c>
      <c r="E12" t="inlineStr">
        <is>
          <t>15:00:00</t>
        </is>
      </c>
      <c r="F12" t="n">
        <v>308</v>
      </c>
      <c r="G12" t="n">
        <v>354</v>
      </c>
      <c r="H12" s="5">
        <f>(G12-F12)/F12</f>
        <v/>
      </c>
      <c r="I12" s="5">
        <f>ABS(H12)</f>
        <v/>
      </c>
      <c r="J12" s="6">
        <f>SQRT(2*(G12-F12)^2/(G12+F12))</f>
        <v/>
      </c>
      <c r="K12" s="6">
        <f>J12*2</f>
        <v/>
      </c>
    </row>
    <row r="13">
      <c r="A13" t="inlineStr">
        <is>
          <t>Baseline</t>
        </is>
      </c>
      <c r="B13" t="n">
        <v>8054900</v>
      </c>
      <c r="C13" t="inlineStr">
        <is>
          <t>CSAH 28 (E Bush Lake Rd) at American Blvd / Green Valley Dr</t>
        </is>
      </c>
      <c r="D13" t="inlineStr">
        <is>
          <t>2025-06-24</t>
        </is>
      </c>
      <c r="E13" t="inlineStr">
        <is>
          <t>08:00:00</t>
        </is>
      </c>
      <c r="F13" t="n">
        <v>356</v>
      </c>
      <c r="G13" t="n">
        <v>312</v>
      </c>
      <c r="H13" s="5">
        <f>(G13-F13)/F13</f>
        <v/>
      </c>
      <c r="I13" s="5">
        <f>ABS(H13)</f>
        <v/>
      </c>
      <c r="J13" s="6">
        <f>SQRT(2*(G13-F13)^2/(G13+F13))</f>
        <v/>
      </c>
      <c r="K13" s="6">
        <f>J13*2</f>
        <v/>
      </c>
    </row>
    <row r="14">
      <c r="A14" t="inlineStr">
        <is>
          <t>Baseline</t>
        </is>
      </c>
      <c r="B14" t="n">
        <v>8058010</v>
      </c>
      <c r="C14" t="inlineStr">
        <is>
          <t>CSAH 73 (Hopkins Crossroad) at Wayzata Blvd / North Frontage Road</t>
        </is>
      </c>
      <c r="D14" t="inlineStr">
        <is>
          <t>2026-03-09</t>
        </is>
      </c>
      <c r="E14" t="inlineStr">
        <is>
          <t>16:00:00</t>
        </is>
      </c>
      <c r="F14" t="n">
        <v>391</v>
      </c>
      <c r="G14" t="n">
        <v>346</v>
      </c>
      <c r="H14" s="5">
        <f>(G14-F14)/F14</f>
        <v/>
      </c>
      <c r="I14" s="5">
        <f>ABS(H14)</f>
        <v/>
      </c>
      <c r="J14" s="6">
        <f>SQRT(2*(G14-F14)^2/(G14+F14))</f>
        <v/>
      </c>
      <c r="K14" s="6">
        <f>J14*2</f>
        <v/>
      </c>
    </row>
    <row r="15">
      <c r="A15" t="inlineStr">
        <is>
          <t>Baseline</t>
        </is>
      </c>
      <c r="B15" t="n">
        <v>8037100</v>
      </c>
      <c r="C15" t="inlineStr">
        <is>
          <t>CSAH 103 (West Broadway) at Dragon Star Supermarket/Rainbow Foods Driveway</t>
        </is>
      </c>
      <c r="D15" t="inlineStr">
        <is>
          <t>2025-06-09</t>
        </is>
      </c>
      <c r="E15" t="inlineStr">
        <is>
          <t>16:00:00</t>
        </is>
      </c>
      <c r="F15" t="n">
        <v>421</v>
      </c>
      <c r="G15" t="n">
        <v>375</v>
      </c>
      <c r="H15" s="5">
        <f>(G15-F15)/F15</f>
        <v/>
      </c>
      <c r="I15" s="5">
        <f>ABS(H15)</f>
        <v/>
      </c>
      <c r="J15" s="6">
        <f>SQRT(2*(G15-F15)^2/(G15+F15))</f>
        <v/>
      </c>
      <c r="K15" s="6">
        <f>J15*2</f>
        <v/>
      </c>
    </row>
    <row r="16">
      <c r="A16" t="inlineStr">
        <is>
          <t>Baseline</t>
        </is>
      </c>
      <c r="B16" t="n">
        <v>9010660</v>
      </c>
      <c r="C16" t="inlineStr">
        <is>
          <t>CSAH 61 (Zachary Ln N) at 89th Ave N</t>
        </is>
      </c>
      <c r="D16" t="inlineStr">
        <is>
          <t>2026-02-26</t>
        </is>
      </c>
      <c r="E16" t="inlineStr">
        <is>
          <t>15:00:00</t>
        </is>
      </c>
      <c r="F16" t="n">
        <v>342</v>
      </c>
      <c r="G16" t="n">
        <v>302</v>
      </c>
      <c r="H16" s="5">
        <f>(G16-F16)/F16</f>
        <v/>
      </c>
      <c r="I16" s="5">
        <f>ABS(H16)</f>
        <v/>
      </c>
      <c r="J16" s="6">
        <f>SQRT(2*(G16-F16)^2/(G16+F16))</f>
        <v/>
      </c>
      <c r="K16" s="6">
        <f>J16*2</f>
        <v/>
      </c>
    </row>
    <row r="17">
      <c r="A17" t="inlineStr">
        <is>
          <t>Baseline</t>
        </is>
      </c>
      <c r="B17" t="n">
        <v>8027600</v>
      </c>
      <c r="C17" t="inlineStr">
        <is>
          <t>CSAH 17 (France Ave) at I-494 N Ramp / 78th St</t>
        </is>
      </c>
      <c r="D17" t="inlineStr">
        <is>
          <t>2026-04-03</t>
        </is>
      </c>
      <c r="E17" t="inlineStr">
        <is>
          <t>07:45:00</t>
        </is>
      </c>
      <c r="F17" t="n">
        <v>647</v>
      </c>
      <c r="G17" t="n">
        <v>594</v>
      </c>
      <c r="H17" s="5">
        <f>(G17-F17)/F17</f>
        <v/>
      </c>
      <c r="I17" s="5">
        <f>ABS(H17)</f>
        <v/>
      </c>
      <c r="J17" s="6">
        <f>SQRT(2*(G17-F17)^2/(G17+F17))</f>
        <v/>
      </c>
      <c r="K17" s="6">
        <f>J17*2</f>
        <v/>
      </c>
    </row>
    <row r="18">
      <c r="A18" t="inlineStr">
        <is>
          <t>Baseline</t>
        </is>
      </c>
      <c r="B18" t="n">
        <v>8057890</v>
      </c>
      <c r="C18" t="inlineStr">
        <is>
          <t>CSAH 81 (Main St) at John Milless Dr / Industrial Blvd</t>
        </is>
      </c>
      <c r="D18" t="inlineStr">
        <is>
          <t>2026-03-06</t>
        </is>
      </c>
      <c r="E18" t="inlineStr">
        <is>
          <t>08:00:00</t>
        </is>
      </c>
      <c r="F18" t="n">
        <v>454</v>
      </c>
      <c r="G18" t="n">
        <v>411</v>
      </c>
      <c r="H18" s="5">
        <f>(G18-F18)/F18</f>
        <v/>
      </c>
      <c r="I18" s="5">
        <f>ABS(H18)</f>
        <v/>
      </c>
      <c r="J18" s="6">
        <f>SQRT(2*(G18-F18)^2/(G18+F18))</f>
        <v/>
      </c>
      <c r="K18" s="6">
        <f>J18*2</f>
        <v/>
      </c>
    </row>
    <row r="19">
      <c r="A19" t="inlineStr">
        <is>
          <t>Baseline</t>
        </is>
      </c>
      <c r="B19" t="n">
        <v>8057800</v>
      </c>
      <c r="C19" t="inlineStr">
        <is>
          <t>CSAH 61 (Flying Cloud Dr) at Charlson Rd</t>
        </is>
      </c>
      <c r="D19" t="inlineStr">
        <is>
          <t>2026-02-24</t>
        </is>
      </c>
      <c r="E19" t="inlineStr">
        <is>
          <t>15:00:00</t>
        </is>
      </c>
      <c r="F19" t="n">
        <v>136</v>
      </c>
      <c r="G19" t="n">
        <v>114</v>
      </c>
      <c r="H19" s="5">
        <f>(G19-F19)/F19</f>
        <v/>
      </c>
      <c r="I19" s="5">
        <f>ABS(H19)</f>
        <v/>
      </c>
      <c r="J19" s="6">
        <f>SQRT(2*(G19-F19)^2/(G19+F19))</f>
        <v/>
      </c>
      <c r="K19" s="6">
        <f>J19*2</f>
        <v/>
      </c>
    </row>
    <row r="20">
      <c r="A20" t="inlineStr">
        <is>
          <t>Baseline</t>
        </is>
      </c>
      <c r="B20" t="n">
        <v>8030800</v>
      </c>
      <c r="C20" t="inlineStr">
        <is>
          <t xml:space="preserve">CSAH 28 (E Bush Lake Rd) at 78th St W </t>
        </is>
      </c>
      <c r="D20" t="inlineStr">
        <is>
          <t>2025-04-04</t>
        </is>
      </c>
      <c r="E20" t="inlineStr">
        <is>
          <t>19:45:00</t>
        </is>
      </c>
      <c r="F20" t="n">
        <v>284</v>
      </c>
      <c r="G20" t="n">
        <v>318</v>
      </c>
      <c r="H20" s="5">
        <f>(G20-F20)/F20</f>
        <v/>
      </c>
      <c r="I20" s="5">
        <f>ABS(H20)</f>
        <v/>
      </c>
      <c r="J20" s="6">
        <f>SQRT(2*(G20-F20)^2/(G20+F20))</f>
        <v/>
      </c>
      <c r="K20" s="6">
        <f>J20*2</f>
        <v/>
      </c>
    </row>
    <row r="21">
      <c r="A21" t="inlineStr">
        <is>
          <t>Baseline</t>
        </is>
      </c>
      <c r="B21" t="n">
        <v>8036600</v>
      </c>
      <c r="C21" t="inlineStr">
        <is>
          <t>CSAH 15 (Lynwood Blvd) at CSAH 110 (Commerce Blvd)</t>
        </is>
      </c>
      <c r="D21" t="inlineStr">
        <is>
          <t>2025-04-18</t>
        </is>
      </c>
      <c r="E21" t="inlineStr">
        <is>
          <t>07:45:00</t>
        </is>
      </c>
      <c r="F21" t="n">
        <v>433</v>
      </c>
      <c r="G21" t="n">
        <v>396</v>
      </c>
      <c r="H21" s="5">
        <f>(G21-F21)/F21</f>
        <v/>
      </c>
      <c r="I21" s="5">
        <f>ABS(H21)</f>
        <v/>
      </c>
      <c r="J21" s="6">
        <f>SQRT(2*(G21-F21)^2/(G21+F21))</f>
        <v/>
      </c>
      <c r="K21" s="6">
        <f>J21*2</f>
        <v/>
      </c>
    </row>
    <row r="22">
      <c r="A22" t="inlineStr">
        <is>
          <t>Baseline</t>
        </is>
      </c>
      <c r="B22" t="n">
        <v>8049100</v>
      </c>
      <c r="C22" t="inlineStr">
        <is>
          <t>CSAH 101 (County Rd 101) at Hutchins Dr</t>
        </is>
      </c>
      <c r="D22" t="inlineStr">
        <is>
          <t>2025-06-09</t>
        </is>
      </c>
      <c r="E22" t="inlineStr">
        <is>
          <t>12:30:00</t>
        </is>
      </c>
      <c r="F22" t="n">
        <v>354</v>
      </c>
      <c r="G22" t="n">
        <v>324</v>
      </c>
      <c r="H22" s="5">
        <f>(G22-F22)/F22</f>
        <v/>
      </c>
      <c r="I22" s="5">
        <f>ABS(H22)</f>
        <v/>
      </c>
      <c r="J22" s="6">
        <f>SQRT(2*(G22-F22)^2/(G22+F22))</f>
        <v/>
      </c>
      <c r="K22" s="6">
        <f>J22*2</f>
        <v/>
      </c>
    </row>
    <row r="23">
      <c r="A23" t="inlineStr">
        <is>
          <t>Baseline</t>
        </is>
      </c>
      <c r="B23" t="n">
        <v>8052400</v>
      </c>
      <c r="C23" t="inlineStr">
        <is>
          <t>CSAH 61 (Northwest Blvd) at W Medicine Lake Dr</t>
        </is>
      </c>
      <c r="D23" t="inlineStr">
        <is>
          <t>2026-02-26</t>
        </is>
      </c>
      <c r="E23" t="inlineStr">
        <is>
          <t>08:00:00</t>
        </is>
      </c>
      <c r="F23" t="n">
        <v>208</v>
      </c>
      <c r="G23" t="n">
        <v>186</v>
      </c>
      <c r="H23" s="5">
        <f>(G23-F23)/F23</f>
        <v/>
      </c>
      <c r="I23" s="5">
        <f>ABS(H23)</f>
        <v/>
      </c>
      <c r="J23" s="6">
        <f>SQRT(2*(G23-F23)^2/(G23+F23))</f>
        <v/>
      </c>
      <c r="K23" s="6">
        <f>J23*2</f>
        <v/>
      </c>
    </row>
    <row r="24">
      <c r="A24" t="inlineStr">
        <is>
          <t>Baseline</t>
        </is>
      </c>
      <c r="B24" t="n">
        <v>8056450</v>
      </c>
      <c r="C24" t="inlineStr">
        <is>
          <t>CSAH 130 (Elm Creek Blvd) at Fountains Dr-BACKHAUL</t>
        </is>
      </c>
      <c r="D24" t="inlineStr">
        <is>
          <t>2025-06-13</t>
        </is>
      </c>
      <c r="E24" t="inlineStr">
        <is>
          <t>07:45:00</t>
        </is>
      </c>
      <c r="F24" t="n">
        <v>214</v>
      </c>
      <c r="G24" t="n">
        <v>193</v>
      </c>
      <c r="H24" s="5">
        <f>(G24-F24)/F24</f>
        <v/>
      </c>
      <c r="I24" s="5">
        <f>ABS(H24)</f>
        <v/>
      </c>
      <c r="J24" s="6">
        <f>SQRT(2*(G24-F24)^2/(G24+F24))</f>
        <v/>
      </c>
      <c r="K24" s="6">
        <f>J24*2</f>
        <v/>
      </c>
    </row>
    <row r="25">
      <c r="A25" t="inlineStr">
        <is>
          <t>Baseline</t>
        </is>
      </c>
      <c r="B25" t="n">
        <v>9010810</v>
      </c>
      <c r="C25" t="inlineStr">
        <is>
          <t>CSAH 103 (West Broadway) at Oak Grove Pkwy</t>
        </is>
      </c>
      <c r="D25" t="inlineStr">
        <is>
          <t>2025-06-10</t>
        </is>
      </c>
      <c r="E25" t="inlineStr">
        <is>
          <t>15:00:00</t>
        </is>
      </c>
      <c r="F25" t="n">
        <v>252</v>
      </c>
      <c r="G25" t="n">
        <v>268</v>
      </c>
      <c r="H25" s="5">
        <f>(G25-F25)/F25</f>
        <v/>
      </c>
      <c r="I25" s="5">
        <f>ABS(H25)</f>
        <v/>
      </c>
      <c r="J25" s="6">
        <f>SQRT(2*(G25-F25)^2/(G25+F25))</f>
        <v/>
      </c>
      <c r="K25" s="6">
        <f>J25*2</f>
        <v/>
      </c>
    </row>
    <row r="26">
      <c r="A26" t="inlineStr">
        <is>
          <t>Baseline</t>
        </is>
      </c>
      <c r="B26" t="n">
        <v>8052000</v>
      </c>
      <c r="C26" t="inlineStr">
        <is>
          <t>CSAH 1 (Pioneer Trail) at Staring Lake Parkway</t>
        </is>
      </c>
      <c r="D26" t="inlineStr">
        <is>
          <t>2025-06-04</t>
        </is>
      </c>
      <c r="E26" t="inlineStr">
        <is>
          <t>08:30:00</t>
        </is>
      </c>
      <c r="F26" t="n">
        <v>176</v>
      </c>
      <c r="G26" t="n">
        <v>164</v>
      </c>
      <c r="H26" s="5">
        <f>(G26-F26)/F26</f>
        <v/>
      </c>
      <c r="I26" s="5">
        <f>ABS(H26)</f>
        <v/>
      </c>
      <c r="J26" s="6">
        <f>SQRT(2*(G26-F26)^2/(G26+F26))</f>
        <v/>
      </c>
      <c r="K26" s="6">
        <f>J26*2</f>
        <v/>
      </c>
    </row>
    <row r="27">
      <c r="A27" t="inlineStr">
        <is>
          <t>Baseline</t>
        </is>
      </c>
      <c r="B27" t="n">
        <v>8059100</v>
      </c>
      <c r="C27" t="inlineStr">
        <is>
          <t>CR 101 (Brockton Ln) at Dayton Parkway</t>
        </is>
      </c>
      <c r="D27" t="inlineStr">
        <is>
          <t>2025-03-04</t>
        </is>
      </c>
      <c r="E27" t="inlineStr">
        <is>
          <t>08:45:00</t>
        </is>
      </c>
      <c r="F27" t="n">
        <v>207</v>
      </c>
      <c r="G27" t="n">
        <v>194</v>
      </c>
      <c r="H27" s="5">
        <f>(G27-F27)/F27</f>
        <v/>
      </c>
      <c r="I27" s="5">
        <f>ABS(H27)</f>
        <v/>
      </c>
      <c r="J27" s="6">
        <f>SQRT(2*(G27-F27)^2/(G27+F27))</f>
        <v/>
      </c>
      <c r="K27" s="6">
        <f>J27*2</f>
        <v/>
      </c>
    </row>
    <row r="28">
      <c r="A28" t="inlineStr">
        <is>
          <t>Baseline</t>
        </is>
      </c>
      <c r="B28" t="n">
        <v>8058015</v>
      </c>
      <c r="C28" t="inlineStr">
        <is>
          <t>CSAH 73 (Hopkins Crossroad) at S Frontage Rd</t>
        </is>
      </c>
      <c r="D28" t="inlineStr">
        <is>
          <t>2026-03-03</t>
        </is>
      </c>
      <c r="E28" t="inlineStr">
        <is>
          <t>15:00:00</t>
        </is>
      </c>
      <c r="F28" t="n">
        <v>282</v>
      </c>
      <c r="G28" t="n">
        <v>267</v>
      </c>
      <c r="H28" s="5">
        <f>(G28-F28)/F28</f>
        <v/>
      </c>
      <c r="I28" s="5">
        <f>ABS(H28)</f>
        <v/>
      </c>
      <c r="J28" s="6">
        <f>SQRT(2*(G28-F28)^2/(G28+F28))</f>
        <v/>
      </c>
      <c r="K28" s="6">
        <f>J28*2</f>
        <v/>
      </c>
    </row>
    <row r="29">
      <c r="A29" t="inlineStr">
        <is>
          <t>Baseline</t>
        </is>
      </c>
      <c r="B29" t="n">
        <v>8059010</v>
      </c>
      <c r="C29" t="inlineStr">
        <is>
          <t>CSAH 81 (Bottineau) at 35th Ave/HyVee</t>
        </is>
      </c>
      <c r="D29" t="inlineStr">
        <is>
          <t>2026-03-09</t>
        </is>
      </c>
      <c r="E29" t="inlineStr">
        <is>
          <t>08:00:00</t>
        </is>
      </c>
      <c r="F29" t="n">
        <v>413</v>
      </c>
      <c r="G29" t="n">
        <v>431</v>
      </c>
      <c r="H29" s="5">
        <f>(G29-F29)/F29</f>
        <v/>
      </c>
      <c r="I29" s="5">
        <f>ABS(H29)</f>
        <v/>
      </c>
      <c r="J29" s="6">
        <f>SQRT(2*(G29-F29)^2/(G29+F29))</f>
        <v/>
      </c>
      <c r="K29" s="6">
        <f>J29*2</f>
        <v/>
      </c>
    </row>
    <row r="30">
      <c r="A30" t="inlineStr">
        <is>
          <t>Baseline</t>
        </is>
      </c>
      <c r="B30" t="n">
        <v>8025300</v>
      </c>
      <c r="C30" t="inlineStr">
        <is>
          <t>CSAH 130 (West Broadway) at 73rd Ave N</t>
        </is>
      </c>
      <c r="D30" t="inlineStr">
        <is>
          <t>2025-04-02</t>
        </is>
      </c>
      <c r="E30" t="inlineStr">
        <is>
          <t>07:45:00</t>
        </is>
      </c>
      <c r="F30" t="n">
        <v>174</v>
      </c>
      <c r="G30" t="n">
        <v>185</v>
      </c>
      <c r="H30" s="5">
        <f>(G30-F30)/F30</f>
        <v/>
      </c>
      <c r="I30" s="5">
        <f>ABS(H30)</f>
        <v/>
      </c>
      <c r="J30" s="6">
        <f>SQRT(2*(G30-F30)^2/(G30+F30))</f>
        <v/>
      </c>
      <c r="K30" s="6">
        <f>J30*2</f>
        <v/>
      </c>
    </row>
    <row r="31">
      <c r="A31" t="inlineStr">
        <is>
          <t>Baseline</t>
        </is>
      </c>
      <c r="B31" t="n">
        <v>8051400</v>
      </c>
      <c r="C31" t="inlineStr">
        <is>
          <t>CSAH 1 (Pioneer Trail) at Dell Rd</t>
        </is>
      </c>
      <c r="D31" t="inlineStr">
        <is>
          <t>2025-04-29</t>
        </is>
      </c>
      <c r="E31" t="inlineStr">
        <is>
          <t>08:15:00</t>
        </is>
      </c>
      <c r="F31" t="n">
        <v>190</v>
      </c>
      <c r="G31" t="n">
        <v>179</v>
      </c>
      <c r="H31" s="5">
        <f>(G31-F31)/F31</f>
        <v/>
      </c>
      <c r="I31" s="5">
        <f>ABS(H31)</f>
        <v/>
      </c>
      <c r="J31" s="6">
        <f>SQRT(2*(G31-F31)^2/(G31+F31))</f>
        <v/>
      </c>
      <c r="K31" s="6">
        <f>J31*2</f>
        <v/>
      </c>
    </row>
    <row r="32">
      <c r="A32" t="inlineStr">
        <is>
          <t>Baseline</t>
        </is>
      </c>
      <c r="B32" t="n">
        <v>8032700</v>
      </c>
      <c r="C32" t="inlineStr">
        <is>
          <t>CSAH 153 (Kenzie Ter) at Kenzington Apts</t>
        </is>
      </c>
      <c r="D32" t="inlineStr">
        <is>
          <t>2025-04-07</t>
        </is>
      </c>
      <c r="E32" t="inlineStr">
        <is>
          <t>12:45:00</t>
        </is>
      </c>
      <c r="F32" t="n">
        <v>81</v>
      </c>
      <c r="G32" t="n">
        <v>74</v>
      </c>
      <c r="H32" s="5">
        <f>(G32-F32)/F32</f>
        <v/>
      </c>
      <c r="I32" s="5">
        <f>ABS(H32)</f>
        <v/>
      </c>
      <c r="J32" s="6">
        <f>SQRT(2*(G32-F32)^2/(G32+F32))</f>
        <v/>
      </c>
      <c r="K32" s="6">
        <f>J32*2</f>
        <v/>
      </c>
    </row>
    <row r="33">
      <c r="A33" t="inlineStr">
        <is>
          <t>Baseline</t>
        </is>
      </c>
      <c r="B33" t="n">
        <v>8039900</v>
      </c>
      <c r="C33" t="inlineStr">
        <is>
          <t>CSAH 27 (Stinson Blvd NE) at 37th Ave NE</t>
        </is>
      </c>
      <c r="D33" t="inlineStr">
        <is>
          <t>2025-06-23</t>
        </is>
      </c>
      <c r="E33" t="inlineStr">
        <is>
          <t>15:45:00</t>
        </is>
      </c>
      <c r="F33" t="n">
        <v>308</v>
      </c>
      <c r="G33" t="n">
        <v>296</v>
      </c>
      <c r="H33" s="5">
        <f>(G33-F33)/F33</f>
        <v/>
      </c>
      <c r="I33" s="5">
        <f>ABS(H33)</f>
        <v/>
      </c>
      <c r="J33" s="6">
        <f>SQRT(2*(G33-F33)^2/(G33+F33))</f>
        <v/>
      </c>
      <c r="K33" s="6">
        <f>J33*2</f>
        <v/>
      </c>
    </row>
    <row r="34">
      <c r="A34" t="inlineStr">
        <is>
          <t>Baseline</t>
        </is>
      </c>
      <c r="B34" t="n">
        <v>8057900</v>
      </c>
      <c r="C34" t="inlineStr">
        <is>
          <t>CSAH 81 (Industrial Blvd) at John Milless Dr / Memorial Dr</t>
        </is>
      </c>
      <c r="D34" t="inlineStr">
        <is>
          <t>2026-03-04</t>
        </is>
      </c>
      <c r="E34" t="inlineStr">
        <is>
          <t>15:00:00</t>
        </is>
      </c>
      <c r="F34" t="n">
        <v>158</v>
      </c>
      <c r="G34" t="n">
        <v>166</v>
      </c>
      <c r="H34" s="5">
        <f>(G34-F34)/F34</f>
        <v/>
      </c>
      <c r="I34" s="5">
        <f>ABS(H34)</f>
        <v/>
      </c>
      <c r="J34" s="6">
        <f>SQRT(2*(G34-F34)^2/(G34+F34))</f>
        <v/>
      </c>
      <c r="K34" s="6">
        <f>J34*2</f>
        <v/>
      </c>
    </row>
    <row r="35">
      <c r="A35" t="inlineStr">
        <is>
          <t>Baseline</t>
        </is>
      </c>
      <c r="B35" t="n">
        <v>8042600</v>
      </c>
      <c r="C35" t="inlineStr">
        <is>
          <t>CSAH 152 (Brooklyn Blvd) at Jolly Lane</t>
        </is>
      </c>
      <c r="D35" t="inlineStr">
        <is>
          <t>2025-03-07</t>
        </is>
      </c>
      <c r="E35" t="inlineStr">
        <is>
          <t>08:30:00</t>
        </is>
      </c>
      <c r="F35" t="n">
        <v>242</v>
      </c>
      <c r="G35" t="n">
        <v>233</v>
      </c>
      <c r="H35" s="5">
        <f>(G35-F35)/F35</f>
        <v/>
      </c>
      <c r="I35" s="5">
        <f>ABS(H35)</f>
        <v/>
      </c>
      <c r="J35" s="6">
        <f>SQRT(2*(G35-F35)^2/(G35+F35))</f>
        <v/>
      </c>
      <c r="K35" s="6">
        <f>J35*2</f>
        <v/>
      </c>
    </row>
    <row r="36">
      <c r="A36" t="inlineStr">
        <is>
          <t>Baseline</t>
        </is>
      </c>
      <c r="B36" t="n">
        <v>8035100</v>
      </c>
      <c r="C36" t="inlineStr">
        <is>
          <t>CSAH 101 (Central Ave) at Wayzata Blvd - Master Controller</t>
        </is>
      </c>
      <c r="D36" t="inlineStr">
        <is>
          <t>2025-06-05</t>
        </is>
      </c>
      <c r="E36" t="inlineStr">
        <is>
          <t>15:00:00</t>
        </is>
      </c>
      <c r="F36" t="n">
        <v>625</v>
      </c>
      <c r="G36" t="n">
        <v>639</v>
      </c>
      <c r="H36" s="5">
        <f>(G36-F36)/F36</f>
        <v/>
      </c>
      <c r="I36" s="5">
        <f>ABS(H36)</f>
        <v/>
      </c>
      <c r="J36" s="6">
        <f>SQRT(2*(G36-F36)^2/(G36+F36))</f>
        <v/>
      </c>
      <c r="K36" s="6">
        <f>J36*2</f>
        <v/>
      </c>
    </row>
    <row r="37">
      <c r="A37" t="inlineStr">
        <is>
          <t>Baseline</t>
        </is>
      </c>
      <c r="B37" t="n">
        <v>8052100</v>
      </c>
      <c r="C37" t="inlineStr">
        <is>
          <t>CSAH 1 (Pioneer Trail) at Bennett Place</t>
        </is>
      </c>
      <c r="D37" t="inlineStr">
        <is>
          <t>2025-04-25</t>
        </is>
      </c>
      <c r="E37" t="inlineStr">
        <is>
          <t>07:45:00</t>
        </is>
      </c>
      <c r="F37" t="n">
        <v>273</v>
      </c>
      <c r="G37" t="n">
        <v>264</v>
      </c>
      <c r="H37" s="5">
        <f>(G37-F37)/F37</f>
        <v/>
      </c>
      <c r="I37" s="5">
        <f>ABS(H37)</f>
        <v/>
      </c>
      <c r="J37" s="6">
        <f>SQRT(2*(G37-F37)^2/(G37+F37))</f>
        <v/>
      </c>
      <c r="K37" s="6">
        <f>J37*2</f>
        <v/>
      </c>
    </row>
    <row r="38">
      <c r="A38" t="inlineStr">
        <is>
          <t>Baseline</t>
        </is>
      </c>
      <c r="B38" t="n">
        <v>8057965</v>
      </c>
      <c r="C38" t="inlineStr">
        <is>
          <t>CSAH 144 (141st Ave N) at Northdale Blvd</t>
        </is>
      </c>
      <c r="D38" t="inlineStr">
        <is>
          <t>2025-06-18</t>
        </is>
      </c>
      <c r="E38" t="inlineStr">
        <is>
          <t>15:45:00</t>
        </is>
      </c>
      <c r="F38" t="n">
        <v>353</v>
      </c>
      <c r="G38" t="n">
        <v>343</v>
      </c>
      <c r="H38" s="5">
        <f>(G38-F38)/F38</f>
        <v/>
      </c>
      <c r="I38" s="5">
        <f>ABS(H38)</f>
        <v/>
      </c>
      <c r="J38" s="6">
        <f>SQRT(2*(G38-F38)^2/(G38+F38))</f>
        <v/>
      </c>
      <c r="K38" s="6">
        <f>J38*2</f>
        <v/>
      </c>
    </row>
    <row r="39">
      <c r="A39" t="inlineStr">
        <is>
          <t>Baseline</t>
        </is>
      </c>
      <c r="B39" t="n">
        <v>8031700</v>
      </c>
      <c r="C39" t="inlineStr">
        <is>
          <t>CSAH 15 (Shoreline Dr) at CSAH 51 (Sunset Dr)</t>
        </is>
      </c>
      <c r="D39" t="inlineStr">
        <is>
          <t>2025-06-19</t>
        </is>
      </c>
      <c r="E39" t="inlineStr">
        <is>
          <t>12:45:00</t>
        </is>
      </c>
      <c r="F39" t="n">
        <v>369</v>
      </c>
      <c r="G39" t="n">
        <v>360</v>
      </c>
      <c r="H39" s="5">
        <f>(G39-F39)/F39</f>
        <v/>
      </c>
      <c r="I39" s="5">
        <f>ABS(H39)</f>
        <v/>
      </c>
      <c r="J39" s="6">
        <f>SQRT(2*(G39-F39)^2/(G39+F39))</f>
        <v/>
      </c>
      <c r="K39" s="6">
        <f>J39*2</f>
        <v/>
      </c>
    </row>
    <row r="40">
      <c r="A40" t="inlineStr">
        <is>
          <t>Baseline</t>
        </is>
      </c>
      <c r="B40" t="n">
        <v>8048400</v>
      </c>
      <c r="C40" t="inlineStr">
        <is>
          <t>CSAH 8 (West Broadway) at 57th Ave N</t>
        </is>
      </c>
      <c r="D40" t="inlineStr">
        <is>
          <t>2026-03-03</t>
        </is>
      </c>
      <c r="E40" t="inlineStr">
        <is>
          <t>07:30:00</t>
        </is>
      </c>
      <c r="F40" t="n">
        <v>125</v>
      </c>
      <c r="G40" t="n">
        <v>120</v>
      </c>
      <c r="H40" s="5">
        <f>(G40-F40)/F40</f>
        <v/>
      </c>
      <c r="I40" s="5">
        <f>ABS(H40)</f>
        <v/>
      </c>
      <c r="J40" s="6">
        <f>SQRT(2*(G40-F40)^2/(G40+F40))</f>
        <v/>
      </c>
      <c r="K40" s="6">
        <f>J40*2</f>
        <v/>
      </c>
    </row>
    <row r="41">
      <c r="A41" t="inlineStr">
        <is>
          <t>Baseline</t>
        </is>
      </c>
      <c r="B41" t="n">
        <v>8033150</v>
      </c>
      <c r="C41" t="inlineStr">
        <is>
          <t>CSAH 25 (Hwy 7) at Lynn Ave</t>
        </is>
      </c>
      <c r="D41" t="inlineStr">
        <is>
          <t>2025-06-23</t>
        </is>
      </c>
      <c r="E41" t="inlineStr">
        <is>
          <t>07:45:00</t>
        </is>
      </c>
      <c r="F41" t="n">
        <v>429</v>
      </c>
      <c r="G41" t="n">
        <v>420</v>
      </c>
      <c r="H41" s="5">
        <f>(G41-F41)/F41</f>
        <v/>
      </c>
      <c r="I41" s="5">
        <f>ABS(H41)</f>
        <v/>
      </c>
      <c r="J41" s="6">
        <f>SQRT(2*(G41-F41)^2/(G41+F41))</f>
        <v/>
      </c>
      <c r="K41" s="6">
        <f>J41*2</f>
        <v/>
      </c>
    </row>
    <row r="42">
      <c r="A42" t="inlineStr">
        <is>
          <t>Baseline</t>
        </is>
      </c>
      <c r="B42" t="n">
        <v>8051500</v>
      </c>
      <c r="C42" t="inlineStr">
        <is>
          <t>CSAH 24 (County Rd 24) at Medina Rd</t>
        </is>
      </c>
      <c r="D42" t="inlineStr">
        <is>
          <t>2025-06-20</t>
        </is>
      </c>
      <c r="E42" t="inlineStr">
        <is>
          <t>15:00:00</t>
        </is>
      </c>
      <c r="F42" t="n">
        <v>255</v>
      </c>
      <c r="G42" t="n">
        <v>250</v>
      </c>
      <c r="H42" s="5">
        <f>(G42-F42)/F42</f>
        <v/>
      </c>
      <c r="I42" s="5">
        <f>ABS(H42)</f>
        <v/>
      </c>
      <c r="J42" s="6">
        <f>SQRT(2*(G42-F42)^2/(G42+F42))</f>
        <v/>
      </c>
      <c r="K42" s="6">
        <f>J42*2</f>
        <v/>
      </c>
    </row>
    <row r="43">
      <c r="A43" t="inlineStr">
        <is>
          <t>Baseline</t>
        </is>
      </c>
      <c r="B43" t="n">
        <v>8037300</v>
      </c>
      <c r="C43" t="inlineStr">
        <is>
          <t>CSAH 1 (Pioneer Trail) at Homeward Hills Rd</t>
        </is>
      </c>
      <c r="D43" t="inlineStr">
        <is>
          <t>2025-05-01</t>
        </is>
      </c>
      <c r="E43" t="inlineStr">
        <is>
          <t>07:45:00</t>
        </is>
      </c>
      <c r="F43" t="n">
        <v>380</v>
      </c>
      <c r="G43" t="n">
        <v>374</v>
      </c>
      <c r="H43" s="5">
        <f>(G43-F43)/F43</f>
        <v/>
      </c>
      <c r="I43" s="5">
        <f>ABS(H43)</f>
        <v/>
      </c>
      <c r="J43" s="6">
        <f>SQRT(2*(G43-F43)^2/(G43+F43))</f>
        <v/>
      </c>
      <c r="K43" s="6">
        <f>J43*2</f>
        <v/>
      </c>
    </row>
    <row r="44">
      <c r="A44" t="inlineStr">
        <is>
          <t>Baseline</t>
        </is>
      </c>
      <c r="B44" t="n">
        <v>8052900</v>
      </c>
      <c r="C44" t="inlineStr">
        <is>
          <t>CSAH 130 (77th Ave N) at Boone Ave N</t>
        </is>
      </c>
      <c r="D44" t="inlineStr">
        <is>
          <t>2025-06-12</t>
        </is>
      </c>
      <c r="E44" t="inlineStr">
        <is>
          <t>12:45:00</t>
        </is>
      </c>
      <c r="F44" t="n">
        <v>166</v>
      </c>
      <c r="G44" t="n">
        <v>170</v>
      </c>
      <c r="H44" s="5">
        <f>(G44-F44)/F44</f>
        <v/>
      </c>
      <c r="I44" s="5">
        <f>ABS(H44)</f>
        <v/>
      </c>
      <c r="J44" s="6">
        <f>SQRT(2*(G44-F44)^2/(G44+F44))</f>
        <v/>
      </c>
      <c r="K44" s="6">
        <f>J44*2</f>
        <v/>
      </c>
    </row>
    <row r="45">
      <c r="A45" t="inlineStr">
        <is>
          <t>Baseline</t>
        </is>
      </c>
      <c r="B45" t="n">
        <v>8057970</v>
      </c>
      <c r="C45" t="inlineStr">
        <is>
          <t>CSAH 144 (141st Ave N) at James Rd/Rogers Dr</t>
        </is>
      </c>
      <c r="D45" t="inlineStr">
        <is>
          <t>2025-06-16</t>
        </is>
      </c>
      <c r="E45" t="inlineStr">
        <is>
          <t>12:45:00</t>
        </is>
      </c>
      <c r="F45" t="n">
        <v>397</v>
      </c>
      <c r="G45" t="n">
        <v>391</v>
      </c>
      <c r="H45" s="5">
        <f>(G45-F45)/F45</f>
        <v/>
      </c>
      <c r="I45" s="5">
        <f>ABS(H45)</f>
        <v/>
      </c>
      <c r="J45" s="6">
        <f>SQRT(2*(G45-F45)^2/(G45+F45))</f>
        <v/>
      </c>
      <c r="K45" s="6">
        <f>J45*2</f>
        <v/>
      </c>
    </row>
    <row r="46">
      <c r="A46" t="inlineStr">
        <is>
          <t>Baseline</t>
        </is>
      </c>
      <c r="B46" t="n">
        <v>8052300</v>
      </c>
      <c r="C46" t="inlineStr">
        <is>
          <t>CSAH 110 (Commerce Blvd) at Sunnyfield Rd E</t>
        </is>
      </c>
      <c r="D46" t="inlineStr">
        <is>
          <t>2025-06-11</t>
        </is>
      </c>
      <c r="E46" t="inlineStr">
        <is>
          <t>12:15:00</t>
        </is>
      </c>
      <c r="F46" t="n">
        <v>256</v>
      </c>
      <c r="G46" t="n">
        <v>253</v>
      </c>
      <c r="H46" s="5">
        <f>(G46-F46)/F46</f>
        <v/>
      </c>
      <c r="I46" s="5">
        <f>ABS(H46)</f>
        <v/>
      </c>
      <c r="J46" s="6">
        <f>SQRT(2*(G46-F46)^2/(G46+F46))</f>
        <v/>
      </c>
      <c r="K46" s="6">
        <f>J46*2</f>
        <v/>
      </c>
    </row>
    <row r="47">
      <c r="A47" t="inlineStr">
        <is>
          <t>Baseline</t>
        </is>
      </c>
      <c r="B47" t="n">
        <v>8048500</v>
      </c>
      <c r="C47" t="inlineStr">
        <is>
          <t>CSAH 1 (Pioneer Trail) at Mitchell Rd</t>
        </is>
      </c>
      <c r="D47" t="inlineStr">
        <is>
          <t>2025-06-04</t>
        </is>
      </c>
      <c r="E47" t="inlineStr">
        <is>
          <t>15:15:00</t>
        </is>
      </c>
      <c r="F47" t="n">
        <v>273</v>
      </c>
      <c r="G47" t="n">
        <v>270</v>
      </c>
      <c r="H47" s="5">
        <f>(G47-F47)/F47</f>
        <v/>
      </c>
      <c r="I47" s="5">
        <f>ABS(H47)</f>
        <v/>
      </c>
      <c r="J47" s="6">
        <f>SQRT(2*(G47-F47)^2/(G47+F47))</f>
        <v/>
      </c>
      <c r="K47" s="6">
        <f>J47*2</f>
        <v/>
      </c>
    </row>
    <row r="48">
      <c r="A48" t="inlineStr">
        <is>
          <t>Baseline</t>
        </is>
      </c>
      <c r="B48" t="n">
        <v>8055800</v>
      </c>
      <c r="C48" t="inlineStr">
        <is>
          <t>CSAH 144 (141st Ave N) at Rogers High School W Entr</t>
        </is>
      </c>
      <c r="D48" t="inlineStr">
        <is>
          <t>2025-06-19</t>
        </is>
      </c>
      <c r="E48" t="inlineStr">
        <is>
          <t>07:45:00</t>
        </is>
      </c>
      <c r="F48" t="n">
        <v>157</v>
      </c>
      <c r="G48" t="n">
        <v>159</v>
      </c>
      <c r="H48" s="5">
        <f>(G48-F48)/F48</f>
        <v/>
      </c>
      <c r="I48" s="5">
        <f>ABS(H48)</f>
        <v/>
      </c>
      <c r="J48" s="6">
        <f>SQRT(2*(G48-F48)^2/(G48+F48))</f>
        <v/>
      </c>
      <c r="K48" s="6">
        <f>J48*2</f>
        <v/>
      </c>
    </row>
    <row r="49">
      <c r="A49" t="inlineStr">
        <is>
          <t>Baseline</t>
        </is>
      </c>
      <c r="B49" t="n">
        <v>8054600</v>
      </c>
      <c r="C49" t="inlineStr">
        <is>
          <t>CSAH 73 (Hopkins Crossroad) at Minnetonka Mills Rd / 5th St N</t>
        </is>
      </c>
      <c r="D49" t="inlineStr">
        <is>
          <t>2026-02-27</t>
        </is>
      </c>
      <c r="E49" t="inlineStr">
        <is>
          <t>07:45:00</t>
        </is>
      </c>
      <c r="F49" t="n">
        <v>269</v>
      </c>
      <c r="G49" t="n">
        <v>268</v>
      </c>
      <c r="H49" s="5">
        <f>(G49-F49)/F49</f>
        <v/>
      </c>
      <c r="I49" s="5">
        <f>ABS(H49)</f>
        <v/>
      </c>
      <c r="J49" s="6">
        <f>SQRT(2*(G49-F49)^2/(G49+F49))</f>
        <v/>
      </c>
      <c r="K49" s="6">
        <f>J49*2</f>
        <v/>
      </c>
    </row>
    <row r="50">
      <c r="A50" t="inlineStr">
        <is>
          <t>1st Calibration</t>
        </is>
      </c>
      <c r="B50" t="n">
        <v>8029100</v>
      </c>
      <c r="C50" t="inlineStr">
        <is>
          <t>CSAH 10 (Bass Lake Rd) at Sherburne Ave</t>
        </is>
      </c>
      <c r="D50" t="inlineStr">
        <is>
          <t>2026-01-12</t>
        </is>
      </c>
      <c r="E50" t="inlineStr">
        <is>
          <t>15:30:00</t>
        </is>
      </c>
      <c r="F50" t="n">
        <v>691</v>
      </c>
      <c r="G50" t="n">
        <v>428</v>
      </c>
      <c r="H50" s="5">
        <f>(G50-F50)/F50</f>
        <v/>
      </c>
      <c r="I50" s="5">
        <f>ABS(H50)</f>
        <v/>
      </c>
      <c r="J50" s="6">
        <f>SQRT(2*(G50-F50)^2/(G50+F50))</f>
        <v/>
      </c>
      <c r="K50" s="6">
        <f>J50*2</f>
        <v/>
      </c>
    </row>
    <row r="51">
      <c r="A51" t="inlineStr">
        <is>
          <t>1st Calibration</t>
        </is>
      </c>
      <c r="B51" t="n">
        <v>8021000</v>
      </c>
      <c r="C51" t="inlineStr">
        <is>
          <t>CSAH 10 (Bass Lake Rd) at Regent Ave</t>
        </is>
      </c>
      <c r="D51" t="inlineStr">
        <is>
          <t>2026-01-12</t>
        </is>
      </c>
      <c r="E51" t="inlineStr">
        <is>
          <t>15:00:00</t>
        </is>
      </c>
      <c r="F51" t="n">
        <v>305</v>
      </c>
      <c r="G51" t="n">
        <v>141</v>
      </c>
      <c r="H51" s="5">
        <f>(G51-F51)/F51</f>
        <v/>
      </c>
      <c r="I51" s="5">
        <f>ABS(H51)</f>
        <v/>
      </c>
      <c r="J51" s="6">
        <f>SQRT(2*(G51-F51)^2/(G51+F51))</f>
        <v/>
      </c>
      <c r="K51" s="6">
        <f>J51*2</f>
        <v/>
      </c>
    </row>
    <row r="52">
      <c r="A52" t="inlineStr">
        <is>
          <t>1st Calibration</t>
        </is>
      </c>
      <c r="B52" t="n">
        <v>8048500</v>
      </c>
      <c r="C52" t="inlineStr">
        <is>
          <t>CSAH 1 (Pioneer Trail) at Mitchell Rd</t>
        </is>
      </c>
      <c r="D52" t="inlineStr">
        <is>
          <t>2025-12-30</t>
        </is>
      </c>
      <c r="E52" t="inlineStr">
        <is>
          <t>15:15:00</t>
        </is>
      </c>
      <c r="F52" t="n">
        <v>200</v>
      </c>
      <c r="G52" t="n">
        <v>125</v>
      </c>
      <c r="H52" s="5">
        <f>(G52-F52)/F52</f>
        <v/>
      </c>
      <c r="I52" s="5">
        <f>ABS(H52)</f>
        <v/>
      </c>
      <c r="J52" s="6">
        <f>SQRT(2*(G52-F52)^2/(G52+F52))</f>
        <v/>
      </c>
      <c r="K52" s="6">
        <f>J52*2</f>
        <v/>
      </c>
    </row>
    <row r="53">
      <c r="A53" t="inlineStr">
        <is>
          <t>1st Calibration</t>
        </is>
      </c>
      <c r="B53" t="n">
        <v>8022400</v>
      </c>
      <c r="C53" t="inlineStr">
        <is>
          <t>CSAH 1 (Old Shakopee Rd) at Xerxes Ave S</t>
        </is>
      </c>
      <c r="D53" t="inlineStr">
        <is>
          <t>2025-07-07</t>
        </is>
      </c>
      <c r="E53" t="inlineStr">
        <is>
          <t>15:00:00</t>
        </is>
      </c>
      <c r="F53" t="n">
        <v>477</v>
      </c>
      <c r="G53" t="n">
        <v>363</v>
      </c>
      <c r="H53" s="5">
        <f>(G53-F53)/F53</f>
        <v/>
      </c>
      <c r="I53" s="5">
        <f>ABS(H53)</f>
        <v/>
      </c>
      <c r="J53" s="6">
        <f>SQRT(2*(G53-F53)^2/(G53+F53))</f>
        <v/>
      </c>
      <c r="K53" s="6">
        <f>J53*2</f>
        <v/>
      </c>
    </row>
    <row r="54">
      <c r="A54" t="inlineStr">
        <is>
          <t>1st Calibration</t>
        </is>
      </c>
      <c r="B54" t="n">
        <v>8057300</v>
      </c>
      <c r="C54" t="inlineStr">
        <is>
          <t>CSAH 1 (Pioneer Trail) at CSAH 61 (Flying Cloud Dr)</t>
        </is>
      </c>
      <c r="D54" t="inlineStr">
        <is>
          <t>2025-12-26</t>
        </is>
      </c>
      <c r="E54" t="inlineStr">
        <is>
          <t>08:00:00</t>
        </is>
      </c>
      <c r="F54" t="n">
        <v>187</v>
      </c>
      <c r="G54" t="n">
        <v>262</v>
      </c>
      <c r="H54" s="5">
        <f>(G54-F54)/F54</f>
        <v/>
      </c>
      <c r="I54" s="5">
        <f>ABS(H54)</f>
        <v/>
      </c>
      <c r="J54" s="6">
        <f>SQRT(2*(G54-F54)^2/(G54+F54))</f>
        <v/>
      </c>
      <c r="K54" s="6">
        <f>J54*2</f>
        <v/>
      </c>
    </row>
    <row r="55">
      <c r="A55" t="inlineStr">
        <is>
          <t>1st Calibration</t>
        </is>
      </c>
      <c r="B55" t="n">
        <v>8018400</v>
      </c>
      <c r="C55" t="inlineStr">
        <is>
          <t>CSAH 1 (Old Shakopee Rd) at CSAH 34 (Normandale Blvd)</t>
        </is>
      </c>
      <c r="D55" t="inlineStr">
        <is>
          <t>2025-07-03</t>
        </is>
      </c>
      <c r="E55" t="inlineStr">
        <is>
          <t>12:45:00</t>
        </is>
      </c>
      <c r="F55" t="n">
        <v>699</v>
      </c>
      <c r="G55" t="n">
        <v>593</v>
      </c>
      <c r="H55" s="5">
        <f>(G55-F55)/F55</f>
        <v/>
      </c>
      <c r="I55" s="5">
        <f>ABS(H55)</f>
        <v/>
      </c>
      <c r="J55" s="6">
        <f>SQRT(2*(G55-F55)^2/(G55+F55))</f>
        <v/>
      </c>
      <c r="K55" s="6">
        <f>J55*2</f>
        <v/>
      </c>
    </row>
    <row r="56">
      <c r="A56" t="inlineStr">
        <is>
          <t>1st Calibration</t>
        </is>
      </c>
      <c r="B56" t="n">
        <v>8026700</v>
      </c>
      <c r="C56" t="inlineStr">
        <is>
          <t>CSAH 152 (Brooklyn Blvd) at 73rd Ave N / Regent Ave</t>
        </is>
      </c>
      <c r="D56" t="inlineStr">
        <is>
          <t>2026-06-16</t>
        </is>
      </c>
      <c r="E56" t="inlineStr">
        <is>
          <t>15:00:00</t>
        </is>
      </c>
      <c r="F56" t="n">
        <v>542</v>
      </c>
      <c r="G56" t="n">
        <v>474</v>
      </c>
      <c r="H56" s="5">
        <f>(G56-F56)/F56</f>
        <v/>
      </c>
      <c r="I56" s="5">
        <f>ABS(H56)</f>
        <v/>
      </c>
      <c r="J56" s="6">
        <f>SQRT(2*(G56-F56)^2/(G56+F56))</f>
        <v/>
      </c>
      <c r="K56" s="6">
        <f>J56*2</f>
        <v/>
      </c>
    </row>
    <row r="57">
      <c r="A57" t="inlineStr">
        <is>
          <t>1st Calibration</t>
        </is>
      </c>
      <c r="B57" t="n">
        <v>8014800</v>
      </c>
      <c r="C57" t="inlineStr">
        <is>
          <t>CSAH 136 (Silver Lake Rd) at 33rd Ave NE</t>
        </is>
      </c>
      <c r="D57" t="inlineStr">
        <is>
          <t>2026-02-20</t>
        </is>
      </c>
      <c r="E57" t="inlineStr">
        <is>
          <t>8:00AM</t>
        </is>
      </c>
      <c r="F57" t="n">
        <v>222</v>
      </c>
      <c r="G57" t="n">
        <v>180</v>
      </c>
      <c r="H57" s="5">
        <f>(G57-F57)/F57</f>
        <v/>
      </c>
      <c r="I57" s="5">
        <f>ABS(H57)</f>
        <v/>
      </c>
      <c r="J57" s="6">
        <f>SQRT(2*(G57-F57)^2/(G57+F57))</f>
        <v/>
      </c>
      <c r="K57" s="6">
        <f>J57*2</f>
        <v/>
      </c>
    </row>
    <row r="58">
      <c r="A58" t="inlineStr">
        <is>
          <t>1st Calibration</t>
        </is>
      </c>
      <c r="B58" t="n">
        <v>8038800</v>
      </c>
      <c r="C58" t="inlineStr">
        <is>
          <t>CSAH 10 (Bass Lake Rd) at Nathan Ln</t>
        </is>
      </c>
      <c r="D58" t="inlineStr">
        <is>
          <t>2025-07-07</t>
        </is>
      </c>
      <c r="E58" t="inlineStr">
        <is>
          <t>07:45:00</t>
        </is>
      </c>
      <c r="F58" t="n">
        <v>576</v>
      </c>
      <c r="G58" t="n">
        <v>525</v>
      </c>
      <c r="H58" s="5">
        <f>(G58-F58)/F58</f>
        <v/>
      </c>
      <c r="I58" s="5">
        <f>ABS(H58)</f>
        <v/>
      </c>
      <c r="J58" s="6">
        <f>SQRT(2*(G58-F58)^2/(G58+F58))</f>
        <v/>
      </c>
      <c r="K58" s="6">
        <f>J58*2</f>
        <v/>
      </c>
    </row>
    <row r="59">
      <c r="A59" t="inlineStr">
        <is>
          <t>1st Calibration</t>
        </is>
      </c>
      <c r="B59" t="n">
        <v>8020600</v>
      </c>
      <c r="C59" t="inlineStr">
        <is>
          <t>CSAH 5 (Minnetonka Blvd) at CSAH 16 (McGinty Rd W)</t>
        </is>
      </c>
      <c r="D59" t="inlineStr">
        <is>
          <t>2026-04-28</t>
        </is>
      </c>
      <c r="E59" t="inlineStr">
        <is>
          <t>08:00:00</t>
        </is>
      </c>
      <c r="F59" t="n">
        <v>515</v>
      </c>
      <c r="G59" t="n">
        <v>472</v>
      </c>
      <c r="H59" s="5">
        <f>(G59-F59)/F59</f>
        <v/>
      </c>
      <c r="I59" s="5">
        <f>ABS(H59)</f>
        <v/>
      </c>
      <c r="J59" s="6">
        <f>SQRT(2*(G59-F59)^2/(G59+F59))</f>
        <v/>
      </c>
      <c r="K59" s="6">
        <f>J59*2</f>
        <v/>
      </c>
    </row>
    <row r="60">
      <c r="A60" t="inlineStr">
        <is>
          <t>1st Calibration</t>
        </is>
      </c>
      <c r="B60" t="n">
        <v>8054100</v>
      </c>
      <c r="C60" t="inlineStr">
        <is>
          <t>CSAH 19 (Manitou Rd) at Smithtown Rd</t>
        </is>
      </c>
      <c r="D60" t="inlineStr">
        <is>
          <t>2026-03-30</t>
        </is>
      </c>
      <c r="E60" t="inlineStr">
        <is>
          <t>15:00:00</t>
        </is>
      </c>
      <c r="F60" t="n">
        <v>242</v>
      </c>
      <c r="G60" t="n">
        <v>216</v>
      </c>
      <c r="H60" s="5">
        <f>(G60-F60)/F60</f>
        <v/>
      </c>
      <c r="I60" s="5">
        <f>ABS(H60)</f>
        <v/>
      </c>
      <c r="J60" s="6">
        <f>SQRT(2*(G60-F60)^2/(G60+F60))</f>
        <v/>
      </c>
      <c r="K60" s="6">
        <f>J60*2</f>
        <v/>
      </c>
    </row>
    <row r="61">
      <c r="A61" t="inlineStr">
        <is>
          <t>1st Calibration</t>
        </is>
      </c>
      <c r="B61" t="n">
        <v>8005700</v>
      </c>
      <c r="C61" t="inlineStr">
        <is>
          <t>CSAH 17 (France Ave) at 65th St W</t>
        </is>
      </c>
      <c r="D61" t="inlineStr">
        <is>
          <t>2026-03-30</t>
        </is>
      </c>
      <c r="E61" t="inlineStr">
        <is>
          <t>07:45:00</t>
        </is>
      </c>
      <c r="F61" t="n">
        <v>472</v>
      </c>
      <c r="G61" t="n">
        <v>440</v>
      </c>
      <c r="H61" s="5">
        <f>(G61-F61)/F61</f>
        <v/>
      </c>
      <c r="I61" s="5">
        <f>ABS(H61)</f>
        <v/>
      </c>
      <c r="J61" s="6">
        <f>SQRT(2*(G61-F61)^2/(G61+F61))</f>
        <v/>
      </c>
      <c r="K61" s="6">
        <f>J61*2</f>
        <v/>
      </c>
    </row>
    <row r="62">
      <c r="A62" t="inlineStr">
        <is>
          <t>1st Calibration</t>
        </is>
      </c>
      <c r="B62" t="n">
        <v>8045400</v>
      </c>
      <c r="C62" t="inlineStr">
        <is>
          <t>CSAH 130 (West Broadway) at 76th Ave N</t>
        </is>
      </c>
      <c r="D62" t="inlineStr">
        <is>
          <t>2026-02-23</t>
        </is>
      </c>
      <c r="E62" t="inlineStr">
        <is>
          <t>15:00:00</t>
        </is>
      </c>
      <c r="F62" t="n">
        <v>295</v>
      </c>
      <c r="G62" t="n">
        <v>270</v>
      </c>
      <c r="H62" s="5">
        <f>(G62-F62)/F62</f>
        <v/>
      </c>
      <c r="I62" s="5">
        <f>ABS(H62)</f>
        <v/>
      </c>
      <c r="J62" s="6">
        <f>SQRT(2*(G62-F62)^2/(G62+F62))</f>
        <v/>
      </c>
      <c r="K62" s="6">
        <f>J62*2</f>
        <v/>
      </c>
    </row>
    <row r="63">
      <c r="A63" t="inlineStr">
        <is>
          <t>1st Calibration</t>
        </is>
      </c>
      <c r="B63" t="n">
        <v>8057890</v>
      </c>
      <c r="C63" t="inlineStr">
        <is>
          <t>CSAH 81 (Main St) at John Milless Dr / Industrial Blvd</t>
        </is>
      </c>
      <c r="D63" t="inlineStr">
        <is>
          <t>2026-03-13</t>
        </is>
      </c>
      <c r="E63" t="inlineStr">
        <is>
          <t>08:00:00</t>
        </is>
      </c>
      <c r="F63" t="n">
        <v>405</v>
      </c>
      <c r="G63" t="n">
        <v>433</v>
      </c>
      <c r="H63" s="5">
        <f>(G63-F63)/F63</f>
        <v/>
      </c>
      <c r="I63" s="5">
        <f>ABS(H63)</f>
        <v/>
      </c>
      <c r="J63" s="6">
        <f>SQRT(2*(G63-F63)^2/(G63+F63))</f>
        <v/>
      </c>
      <c r="K63" s="6">
        <f>J63*2</f>
        <v/>
      </c>
    </row>
    <row r="64">
      <c r="A64" t="inlineStr">
        <is>
          <t>1st Calibration</t>
        </is>
      </c>
      <c r="B64" t="n">
        <v>8008400</v>
      </c>
      <c r="C64" t="inlineStr">
        <is>
          <t>CSAH 1 (Old Shakopee Rd) at CSAH 17 (France Ave)</t>
        </is>
      </c>
      <c r="D64" t="inlineStr">
        <is>
          <t>2025-07-08</t>
        </is>
      </c>
      <c r="E64" t="inlineStr">
        <is>
          <t>12:45:00</t>
        </is>
      </c>
      <c r="F64" t="n">
        <v>521</v>
      </c>
      <c r="G64" t="n">
        <v>552</v>
      </c>
      <c r="H64" s="5">
        <f>(G64-F64)/F64</f>
        <v/>
      </c>
      <c r="I64" s="5">
        <f>ABS(H64)</f>
        <v/>
      </c>
      <c r="J64" s="6">
        <f>SQRT(2*(G64-F64)^2/(G64+F64))</f>
        <v/>
      </c>
      <c r="K64" s="6">
        <f>J64*2</f>
        <v/>
      </c>
    </row>
    <row r="65">
      <c r="A65" t="inlineStr">
        <is>
          <t>1st Calibration</t>
        </is>
      </c>
      <c r="B65" t="n">
        <v>8024100</v>
      </c>
      <c r="C65" t="inlineStr">
        <is>
          <t>CSAH 10 (Bass Lake Rd) at Zachary Ln BACKHAUL</t>
        </is>
      </c>
      <c r="D65" t="inlineStr">
        <is>
          <t>2026-01-08</t>
        </is>
      </c>
      <c r="E65" t="inlineStr">
        <is>
          <t>07:45:00</t>
        </is>
      </c>
      <c r="F65" t="n">
        <v>505</v>
      </c>
      <c r="G65" t="n">
        <v>535</v>
      </c>
      <c r="H65" s="5">
        <f>(G65-F65)/F65</f>
        <v/>
      </c>
      <c r="I65" s="5">
        <f>ABS(H65)</f>
        <v/>
      </c>
      <c r="J65" s="6">
        <f>SQRT(2*(G65-F65)^2/(G65+F65))</f>
        <v/>
      </c>
      <c r="K65" s="6">
        <f>J65*2</f>
        <v/>
      </c>
    </row>
    <row r="66">
      <c r="A66" t="inlineStr">
        <is>
          <t>1st Calibration</t>
        </is>
      </c>
      <c r="B66" t="n">
        <v>8023800</v>
      </c>
      <c r="C66" t="inlineStr">
        <is>
          <t>CSAH 5 (Minnetonka Blvd) at CSAH 61 W Jct (Plymouth Rd)</t>
        </is>
      </c>
      <c r="D66" t="inlineStr">
        <is>
          <t>2026-04-27</t>
        </is>
      </c>
      <c r="E66" t="inlineStr">
        <is>
          <t>15:15:00</t>
        </is>
      </c>
      <c r="F66" t="n">
        <v>396</v>
      </c>
      <c r="G66" t="n">
        <v>375</v>
      </c>
      <c r="H66" s="5">
        <f>(G66-F66)/F66</f>
        <v/>
      </c>
      <c r="I66" s="5">
        <f>ABS(H66)</f>
        <v/>
      </c>
      <c r="J66" s="6">
        <f>SQRT(2*(G66-F66)^2/(G66+F66))</f>
        <v/>
      </c>
      <c r="K66" s="6">
        <f>J66*2</f>
        <v/>
      </c>
    </row>
    <row r="67">
      <c r="A67" t="inlineStr">
        <is>
          <t>1st Calibration</t>
        </is>
      </c>
      <c r="B67" t="n">
        <v>8037200</v>
      </c>
      <c r="C67" t="inlineStr">
        <is>
          <t>CSAH 1 (Pioneer Trail) at CSAH 4  (Eden Prairie Rd)</t>
        </is>
      </c>
      <c r="D67" t="inlineStr">
        <is>
          <t>2025-12-24</t>
        </is>
      </c>
      <c r="E67" t="inlineStr">
        <is>
          <t>07:30:00</t>
        </is>
      </c>
      <c r="F67" t="n">
        <v>113</v>
      </c>
      <c r="G67" t="n">
        <v>102</v>
      </c>
      <c r="H67" s="5">
        <f>(G67-F67)/F67</f>
        <v/>
      </c>
      <c r="I67" s="5">
        <f>ABS(H67)</f>
        <v/>
      </c>
      <c r="J67" s="6">
        <f>SQRT(2*(G67-F67)^2/(G67+F67))</f>
        <v/>
      </c>
      <c r="K67" s="6">
        <f>J67*2</f>
        <v/>
      </c>
    </row>
    <row r="68">
      <c r="A68" t="inlineStr">
        <is>
          <t>1st Calibration</t>
        </is>
      </c>
      <c r="B68" t="n">
        <v>8051400</v>
      </c>
      <c r="C68" t="inlineStr">
        <is>
          <t>CSAH 1 (Pioneer Trail) at Dell Rd</t>
        </is>
      </c>
      <c r="D68" t="inlineStr">
        <is>
          <t>2025-12-29</t>
        </is>
      </c>
      <c r="E68" t="inlineStr">
        <is>
          <t>08:15:00</t>
        </is>
      </c>
      <c r="F68" t="n">
        <v>105</v>
      </c>
      <c r="G68" t="n">
        <v>116</v>
      </c>
      <c r="H68" s="5">
        <f>(G68-F68)/F68</f>
        <v/>
      </c>
      <c r="I68" s="5">
        <f>ABS(H68)</f>
        <v/>
      </c>
      <c r="J68" s="6">
        <f>SQRT(2*(G68-F68)^2/(G68+F68))</f>
        <v/>
      </c>
      <c r="K68" s="6">
        <f>J68*2</f>
        <v/>
      </c>
    </row>
    <row r="69">
      <c r="A69" t="inlineStr">
        <is>
          <t>1st Calibration</t>
        </is>
      </c>
      <c r="B69" t="n">
        <v>8052700</v>
      </c>
      <c r="C69" t="inlineStr">
        <is>
          <t>CSAH 10 (Bass Lake Rd) at Vicksburg Ln</t>
        </is>
      </c>
      <c r="D69" t="inlineStr">
        <is>
          <t>2026-01-14</t>
        </is>
      </c>
      <c r="E69" t="inlineStr">
        <is>
          <t>11:45:00</t>
        </is>
      </c>
      <c r="F69" t="n">
        <v>313</v>
      </c>
      <c r="G69" t="n">
        <v>295</v>
      </c>
      <c r="H69" s="5">
        <f>(G69-F69)/F69</f>
        <v/>
      </c>
      <c r="I69" s="5">
        <f>ABS(H69)</f>
        <v/>
      </c>
      <c r="J69" s="6">
        <f>SQRT(2*(G69-F69)^2/(G69+F69))</f>
        <v/>
      </c>
      <c r="K69" s="6">
        <f>J69*2</f>
        <v/>
      </c>
    </row>
    <row r="70">
      <c r="A70" t="inlineStr">
        <is>
          <t>1st Calibration</t>
        </is>
      </c>
      <c r="B70" t="n">
        <v>8052000</v>
      </c>
      <c r="C70" t="inlineStr">
        <is>
          <t>CSAH 1 (Pioneer Trail) at Staring Lake Parkway</t>
        </is>
      </c>
      <c r="D70" t="inlineStr">
        <is>
          <t>2025-12-31</t>
        </is>
      </c>
      <c r="E70" t="inlineStr">
        <is>
          <t>08:30:00</t>
        </is>
      </c>
      <c r="F70" t="n">
        <v>93</v>
      </c>
      <c r="G70" t="n">
        <v>102</v>
      </c>
      <c r="H70" s="5">
        <f>(G70-F70)/F70</f>
        <v/>
      </c>
      <c r="I70" s="5">
        <f>ABS(H70)</f>
        <v/>
      </c>
      <c r="J70" s="6">
        <f>SQRT(2*(G70-F70)^2/(G70+F70))</f>
        <v/>
      </c>
      <c r="K70" s="6">
        <f>J70*2</f>
        <v/>
      </c>
    </row>
    <row r="71">
      <c r="A71" t="inlineStr">
        <is>
          <t>1st Calibration</t>
        </is>
      </c>
      <c r="B71" t="n">
        <v>8033400</v>
      </c>
      <c r="C71" t="inlineStr">
        <is>
          <t>CSAH 88 (New Brighton Blvd) at CSAH 94 (29th Ave NE)</t>
        </is>
      </c>
      <c r="D71" t="inlineStr">
        <is>
          <t>2026-04-20</t>
        </is>
      </c>
      <c r="E71" t="inlineStr">
        <is>
          <t>08:00:00</t>
        </is>
      </c>
      <c r="F71" t="n">
        <v>292</v>
      </c>
      <c r="G71" t="n">
        <v>279</v>
      </c>
      <c r="H71" s="5">
        <f>(G71-F71)/F71</f>
        <v/>
      </c>
      <c r="I71" s="5">
        <f>ABS(H71)</f>
        <v/>
      </c>
      <c r="J71" s="6">
        <f>SQRT(2*(G71-F71)^2/(G71+F71))</f>
        <v/>
      </c>
      <c r="K71" s="6">
        <f>J71*2</f>
        <v/>
      </c>
    </row>
    <row r="72">
      <c r="A72" t="inlineStr">
        <is>
          <t>1st Calibration</t>
        </is>
      </c>
      <c r="B72" t="n">
        <v>8024800</v>
      </c>
      <c r="C72" t="inlineStr">
        <is>
          <t>CSAH 9 (Rockford Rd) at Larch Ln BACKHAUL</t>
        </is>
      </c>
      <c r="D72" t="inlineStr">
        <is>
          <t>2026-04-17</t>
        </is>
      </c>
      <c r="E72" t="inlineStr">
        <is>
          <t>15:00:00</t>
        </is>
      </c>
      <c r="F72" t="n">
        <v>477</v>
      </c>
      <c r="G72" t="n">
        <v>461</v>
      </c>
      <c r="H72" s="5">
        <f>(G72-F72)/F72</f>
        <v/>
      </c>
      <c r="I72" s="5">
        <f>ABS(H72)</f>
        <v/>
      </c>
      <c r="J72" s="6">
        <f>SQRT(2*(G72-F72)^2/(G72+F72))</f>
        <v/>
      </c>
      <c r="K72" s="6">
        <f>J72*2</f>
        <v/>
      </c>
    </row>
    <row r="73">
      <c r="A73" t="inlineStr">
        <is>
          <t>1st Calibration</t>
        </is>
      </c>
      <c r="B73" t="n">
        <v>9010690</v>
      </c>
      <c r="C73" t="inlineStr">
        <is>
          <t>CSAH 121 (Maple Grove Pkwy) at Hospital Dr</t>
        </is>
      </c>
      <c r="D73" t="inlineStr">
        <is>
          <t>2026-02-19</t>
        </is>
      </c>
      <c r="E73" t="inlineStr">
        <is>
          <t>08:30:00</t>
        </is>
      </c>
      <c r="F73" t="n">
        <v>339</v>
      </c>
      <c r="G73" t="n">
        <v>327</v>
      </c>
      <c r="H73" s="5">
        <f>(G73-F73)/F73</f>
        <v/>
      </c>
      <c r="I73" s="5">
        <f>ABS(H73)</f>
        <v/>
      </c>
      <c r="J73" s="6">
        <f>SQRT(2*(G73-F73)^2/(G73+F73))</f>
        <v/>
      </c>
      <c r="K73" s="6">
        <f>J73*2</f>
        <v/>
      </c>
    </row>
    <row r="74">
      <c r="A74" t="inlineStr">
        <is>
          <t>1st Calibration</t>
        </is>
      </c>
      <c r="B74" t="n">
        <v>8025900</v>
      </c>
      <c r="C74" t="inlineStr">
        <is>
          <t>CSAH 152 (Brooklyn Blvd) at 55th Ave N</t>
        </is>
      </c>
      <c r="D74" t="inlineStr">
        <is>
          <t>2026-05-21</t>
        </is>
      </c>
      <c r="E74" t="inlineStr">
        <is>
          <t>15:15:00</t>
        </is>
      </c>
      <c r="F74" t="n">
        <v>520</v>
      </c>
      <c r="G74" t="n">
        <v>506</v>
      </c>
      <c r="H74" s="5">
        <f>(G74-F74)/F74</f>
        <v/>
      </c>
      <c r="I74" s="5">
        <f>ABS(H74)</f>
        <v/>
      </c>
      <c r="J74" s="6">
        <f>SQRT(2*(G74-F74)^2/(G74+F74))</f>
        <v/>
      </c>
      <c r="K74" s="6">
        <f>J74*2</f>
        <v/>
      </c>
    </row>
    <row r="75">
      <c r="A75" t="inlineStr">
        <is>
          <t>1st Calibration</t>
        </is>
      </c>
      <c r="B75" t="n">
        <v>8030800</v>
      </c>
      <c r="C75" t="inlineStr">
        <is>
          <t xml:space="preserve">CSAH 28 (E Bush Lake Rd) at 78th St W </t>
        </is>
      </c>
      <c r="D75" t="inlineStr">
        <is>
          <t>2026-03-30</t>
        </is>
      </c>
      <c r="E75" t="inlineStr">
        <is>
          <t>16:00:00</t>
        </is>
      </c>
      <c r="F75" t="n">
        <v>396</v>
      </c>
      <c r="G75" t="n">
        <v>408</v>
      </c>
      <c r="H75" s="5">
        <f>(G75-F75)/F75</f>
        <v/>
      </c>
      <c r="I75" s="5">
        <f>ABS(H75)</f>
        <v/>
      </c>
      <c r="J75" s="6">
        <f>SQRT(2*(G75-F75)^2/(G75+F75))</f>
        <v/>
      </c>
      <c r="K75" s="6">
        <f>J75*2</f>
        <v/>
      </c>
    </row>
    <row r="76">
      <c r="A76" t="inlineStr">
        <is>
          <t>1st Calibration</t>
        </is>
      </c>
      <c r="B76" t="n">
        <v>8040000</v>
      </c>
      <c r="C76" t="inlineStr">
        <is>
          <t>CSAH 101 (Central Ave) at 14th Ave N - Master Controller</t>
        </is>
      </c>
      <c r="D76" t="inlineStr">
        <is>
          <t>nan</t>
        </is>
      </c>
      <c r="E76" t="inlineStr">
        <is>
          <t>nan</t>
        </is>
      </c>
      <c r="F76" t="n">
        <v>478</v>
      </c>
      <c r="G76" t="n">
        <v>491</v>
      </c>
      <c r="H76" s="5">
        <f>(G76-F76)/F76</f>
        <v/>
      </c>
      <c r="I76" s="5">
        <f>ABS(H76)</f>
        <v/>
      </c>
      <c r="J76" s="6">
        <f>SQRT(2*(G76-F76)^2/(G76+F76))</f>
        <v/>
      </c>
      <c r="K76" s="6">
        <f>J76*2</f>
        <v/>
      </c>
    </row>
    <row r="77">
      <c r="A77" t="inlineStr">
        <is>
          <t>1st Calibration</t>
        </is>
      </c>
      <c r="B77" t="n">
        <v>8052100</v>
      </c>
      <c r="C77" t="inlineStr">
        <is>
          <t>CSAH 1 (Pioneer Trail) at Bennett Place</t>
        </is>
      </c>
      <c r="D77" t="inlineStr">
        <is>
          <t>2025-04-25</t>
        </is>
      </c>
      <c r="E77" t="inlineStr">
        <is>
          <t>07:45:00</t>
        </is>
      </c>
      <c r="F77" t="n">
        <v>273</v>
      </c>
      <c r="G77" t="n">
        <v>264</v>
      </c>
      <c r="H77" s="5">
        <f>(G77-F77)/F77</f>
        <v/>
      </c>
      <c r="I77" s="5">
        <f>ABS(H77)</f>
        <v/>
      </c>
      <c r="J77" s="6">
        <f>SQRT(2*(G77-F77)^2/(G77+F77))</f>
        <v/>
      </c>
      <c r="K77" s="6">
        <f>J77*2</f>
        <v/>
      </c>
    </row>
    <row r="78">
      <c r="A78" t="inlineStr">
        <is>
          <t>1st Calibration</t>
        </is>
      </c>
      <c r="B78" t="n">
        <v>8056000</v>
      </c>
      <c r="C78" t="inlineStr">
        <is>
          <t>CSAH 10 (County Road 10) at CSAH 116 (Fletcher Ln)</t>
        </is>
      </c>
      <c r="D78" t="inlineStr">
        <is>
          <t>2026-01-09</t>
        </is>
      </c>
      <c r="E78" t="inlineStr">
        <is>
          <t>08:30:00</t>
        </is>
      </c>
      <c r="F78" t="n">
        <v>213</v>
      </c>
      <c r="G78" t="n">
        <v>206</v>
      </c>
      <c r="H78" s="5">
        <f>(G78-F78)/F78</f>
        <v/>
      </c>
      <c r="I78" s="5">
        <f>ABS(H78)</f>
        <v/>
      </c>
      <c r="J78" s="6">
        <f>SQRT(2*(G78-F78)^2/(G78+F78))</f>
        <v/>
      </c>
      <c r="K78" s="6">
        <f>J78*2</f>
        <v/>
      </c>
    </row>
    <row r="79">
      <c r="A79" t="inlineStr">
        <is>
          <t>1st Calibration</t>
        </is>
      </c>
      <c r="B79" t="n">
        <v>8026000</v>
      </c>
      <c r="C79" t="inlineStr">
        <is>
          <t>CSAH 152 (Brooklyn Blvd) at 63rd Ave N</t>
        </is>
      </c>
      <c r="D79" t="inlineStr">
        <is>
          <t>2026-05-22</t>
        </is>
      </c>
      <c r="E79" t="inlineStr">
        <is>
          <t>08:30:00</t>
        </is>
      </c>
      <c r="F79" t="n">
        <v>385</v>
      </c>
      <c r="G79" t="n">
        <v>394</v>
      </c>
      <c r="H79" s="5">
        <f>(G79-F79)/F79</f>
        <v/>
      </c>
      <c r="I79" s="5">
        <f>ABS(H79)</f>
        <v/>
      </c>
      <c r="J79" s="6">
        <f>SQRT(2*(G79-F79)^2/(G79+F79))</f>
        <v/>
      </c>
      <c r="K79" s="6">
        <f>J79*2</f>
        <v/>
      </c>
    </row>
    <row r="80">
      <c r="A80" t="inlineStr">
        <is>
          <t>1st Calibration</t>
        </is>
      </c>
      <c r="B80" t="n">
        <v>8037000</v>
      </c>
      <c r="C80" t="inlineStr">
        <is>
          <t>CSAH 152 (Brooklyn Blvd) at Cub Foods Driveway</t>
        </is>
      </c>
      <c r="D80" t="inlineStr">
        <is>
          <t>2026-06-16</t>
        </is>
      </c>
      <c r="E80" t="inlineStr">
        <is>
          <t>16:00:00</t>
        </is>
      </c>
      <c r="F80" t="n">
        <v>476</v>
      </c>
      <c r="G80" t="n">
        <v>486</v>
      </c>
      <c r="H80" s="5">
        <f>(G80-F80)/F80</f>
        <v/>
      </c>
      <c r="I80" s="5">
        <f>ABS(H80)</f>
        <v/>
      </c>
      <c r="J80" s="6">
        <f>SQRT(2*(G80-F80)^2/(G80+F80))</f>
        <v/>
      </c>
      <c r="K80" s="6">
        <f>J80*2</f>
        <v/>
      </c>
    </row>
    <row r="81">
      <c r="A81" t="inlineStr">
        <is>
          <t>1st Calibration</t>
        </is>
      </c>
      <c r="B81" t="n">
        <v>8049100</v>
      </c>
      <c r="C81" t="inlineStr">
        <is>
          <t>CSAH 101 (County Rd 101) at Hutchins Dr</t>
        </is>
      </c>
      <c r="D81" t="inlineStr">
        <is>
          <t>2026-03-18</t>
        </is>
      </c>
      <c r="E81" t="inlineStr">
        <is>
          <t>15:00:00</t>
        </is>
      </c>
      <c r="F81" t="n">
        <v>514</v>
      </c>
      <c r="G81" t="n">
        <v>504</v>
      </c>
      <c r="H81" s="5">
        <f>(G81-F81)/F81</f>
        <v/>
      </c>
      <c r="I81" s="5">
        <f>ABS(H81)</f>
        <v/>
      </c>
      <c r="J81" s="6">
        <f>SQRT(2*(G81-F81)^2/(G81+F81))</f>
        <v/>
      </c>
      <c r="K81" s="6">
        <f>J81*2</f>
        <v/>
      </c>
    </row>
    <row r="82">
      <c r="A82" t="inlineStr">
        <is>
          <t>1st Calibration</t>
        </is>
      </c>
      <c r="B82" t="n">
        <v>9010695</v>
      </c>
      <c r="C82" t="inlineStr">
        <is>
          <t>CSAH 121 (Maple Grove Pkwy) at 99th Ave / Grove Cir</t>
        </is>
      </c>
      <c r="D82" t="inlineStr">
        <is>
          <t>2026-02-19</t>
        </is>
      </c>
      <c r="E82" t="inlineStr">
        <is>
          <t>15:15:00</t>
        </is>
      </c>
      <c r="F82" t="n">
        <v>574</v>
      </c>
      <c r="G82" t="n">
        <v>583</v>
      </c>
      <c r="H82" s="5">
        <f>(G82-F82)/F82</f>
        <v/>
      </c>
      <c r="I82" s="5">
        <f>ABS(H82)</f>
        <v/>
      </c>
      <c r="J82" s="6">
        <f>SQRT(2*(G82-F82)^2/(G82+F82))</f>
        <v/>
      </c>
      <c r="K82" s="6">
        <f>J82*2</f>
        <v/>
      </c>
    </row>
    <row r="83">
      <c r="A83" t="inlineStr">
        <is>
          <t>1st Calibration</t>
        </is>
      </c>
      <c r="B83" t="n">
        <v>8058010</v>
      </c>
      <c r="C83" t="inlineStr">
        <is>
          <t>CSAH 73 (Hopkins Crossroad) at Wayzata Blvd / North Frontage Road</t>
        </is>
      </c>
      <c r="D83" t="inlineStr">
        <is>
          <t>2026-03-12</t>
        </is>
      </c>
      <c r="E83" t="inlineStr">
        <is>
          <t>16:00:00</t>
        </is>
      </c>
      <c r="F83" t="n">
        <v>437</v>
      </c>
      <c r="G83" t="n">
        <v>431</v>
      </c>
      <c r="H83" s="5">
        <f>(G83-F83)/F83</f>
        <v/>
      </c>
      <c r="I83" s="5">
        <f>ABS(H83)</f>
        <v/>
      </c>
      <c r="J83" s="6">
        <f>SQRT(2*(G83-F83)^2/(G83+F83))</f>
        <v/>
      </c>
      <c r="K83" s="6">
        <f>J83*2</f>
        <v/>
      </c>
    </row>
    <row r="84">
      <c r="A84" t="inlineStr">
        <is>
          <t>1st Calibration</t>
        </is>
      </c>
      <c r="B84" t="n">
        <v>8025600</v>
      </c>
      <c r="C84" t="inlineStr">
        <is>
          <t>CSAH 10 (Bass Lake Rd) at CSAH 152 (Brooklyn Blvd) - Master Controller</t>
        </is>
      </c>
      <c r="D84" t="inlineStr">
        <is>
          <t>2026-01-13</t>
        </is>
      </c>
      <c r="E84" t="inlineStr">
        <is>
          <t>08:30:00</t>
        </is>
      </c>
      <c r="F84" t="n">
        <v>385</v>
      </c>
      <c r="G84" t="n">
        <v>380</v>
      </c>
      <c r="H84" s="5">
        <f>(G84-F84)/F84</f>
        <v/>
      </c>
      <c r="I84" s="5">
        <f>ABS(H84)</f>
        <v/>
      </c>
      <c r="J84" s="6">
        <f>SQRT(2*(G84-F84)^2/(G84+F84))</f>
        <v/>
      </c>
      <c r="K84" s="6">
        <f>J84*2</f>
        <v/>
      </c>
    </row>
    <row r="85">
      <c r="A85" t="inlineStr">
        <is>
          <t>1st Calibration</t>
        </is>
      </c>
      <c r="B85" t="n">
        <v>8038300</v>
      </c>
      <c r="C85" t="inlineStr">
        <is>
          <t>CSAH 152 (Brooklyn Blvd) at Unity Ave N</t>
        </is>
      </c>
      <c r="D85" t="inlineStr">
        <is>
          <t>2026-06-17</t>
        </is>
      </c>
      <c r="E85" t="inlineStr">
        <is>
          <t>16:00:00</t>
        </is>
      </c>
      <c r="F85" t="n">
        <v>435</v>
      </c>
      <c r="G85" t="n">
        <v>430</v>
      </c>
      <c r="H85" s="5">
        <f>(G85-F85)/F85</f>
        <v/>
      </c>
      <c r="I85" s="5">
        <f>ABS(H85)</f>
        <v/>
      </c>
      <c r="J85" s="6">
        <f>SQRT(2*(G85-F85)^2/(G85+F85))</f>
        <v/>
      </c>
      <c r="K85" s="6">
        <f>J85*2</f>
        <v/>
      </c>
    </row>
    <row r="86">
      <c r="A86" t="inlineStr">
        <is>
          <t>1st Calibration</t>
        </is>
      </c>
      <c r="B86" t="n">
        <v>8044600</v>
      </c>
      <c r="C86" t="inlineStr">
        <is>
          <t>CSAH 1 (Old Shakopee Rd) at Nesbitt Ave</t>
        </is>
      </c>
      <c r="D86" t="inlineStr">
        <is>
          <t>2025-07-07</t>
        </is>
      </c>
      <c r="E86" t="inlineStr">
        <is>
          <t>15:00:00</t>
        </is>
      </c>
      <c r="F86" t="n">
        <v>471</v>
      </c>
      <c r="G86" t="n">
        <v>466</v>
      </c>
      <c r="H86" s="5">
        <f>(G86-F86)/F86</f>
        <v/>
      </c>
      <c r="I86" s="5">
        <f>ABS(H86)</f>
        <v/>
      </c>
      <c r="J86" s="6">
        <f>SQRT(2*(G86-F86)^2/(G86+F86))</f>
        <v/>
      </c>
      <c r="K86" s="6">
        <f>J86*2</f>
        <v/>
      </c>
    </row>
    <row r="87">
      <c r="A87" t="inlineStr">
        <is>
          <t>1st Calibration</t>
        </is>
      </c>
      <c r="B87" t="n">
        <v>8031600</v>
      </c>
      <c r="C87" t="inlineStr">
        <is>
          <t>CSAH 10 (Bass Lake Rd) at Sycamore Ln / Prudential Bldg - Master Controller</t>
        </is>
      </c>
      <c r="D87" t="inlineStr">
        <is>
          <t>2026-01-06</t>
        </is>
      </c>
      <c r="E87" t="inlineStr">
        <is>
          <t>12:45:00</t>
        </is>
      </c>
      <c r="F87" t="n">
        <v>301</v>
      </c>
      <c r="G87" t="n">
        <v>305</v>
      </c>
      <c r="H87" s="5">
        <f>(G87-F87)/F87</f>
        <v/>
      </c>
      <c r="I87" s="5">
        <f>ABS(H87)</f>
        <v/>
      </c>
      <c r="J87" s="6">
        <f>SQRT(2*(G87-F87)^2/(G87+F87))</f>
        <v/>
      </c>
      <c r="K87" s="6">
        <f>J87*2</f>
        <v/>
      </c>
    </row>
    <row r="88">
      <c r="A88" t="inlineStr">
        <is>
          <t>1st Calibration</t>
        </is>
      </c>
      <c r="B88" t="n">
        <v>8057600</v>
      </c>
      <c r="C88" t="inlineStr">
        <is>
          <t>CSAH 61 (Flying Cloud Dr) at Singletree Ln</t>
        </is>
      </c>
      <c r="D88" t="inlineStr">
        <is>
          <t>2026-04-14</t>
        </is>
      </c>
      <c r="E88" t="inlineStr">
        <is>
          <t>16:00:00</t>
        </is>
      </c>
      <c r="F88" t="n">
        <v>601</v>
      </c>
      <c r="G88" t="n">
        <v>596</v>
      </c>
      <c r="H88" s="5">
        <f>(G88-F88)/F88</f>
        <v/>
      </c>
      <c r="I88" s="5">
        <f>ABS(H88)</f>
        <v/>
      </c>
      <c r="J88" s="6">
        <f>SQRT(2*(G88-F88)^2/(G88+F88))</f>
        <v/>
      </c>
      <c r="K88" s="6">
        <f>J88*2</f>
        <v/>
      </c>
    </row>
    <row r="89">
      <c r="A89" t="inlineStr">
        <is>
          <t>1st Calibration</t>
        </is>
      </c>
      <c r="B89" t="n">
        <v>8026600</v>
      </c>
      <c r="C89" t="inlineStr">
        <is>
          <t>CSAH 152 (Brooklyn Blvd) at Noble Ave / 71st Ave</t>
        </is>
      </c>
      <c r="D89" t="inlineStr">
        <is>
          <t>2026-06-17</t>
        </is>
      </c>
      <c r="E89" t="inlineStr">
        <is>
          <t>08:00:00</t>
        </is>
      </c>
      <c r="F89" t="n">
        <v>402</v>
      </c>
      <c r="G89" t="n">
        <v>406</v>
      </c>
      <c r="H89" s="5">
        <f>(G89-F89)/F89</f>
        <v/>
      </c>
      <c r="I89" s="5">
        <f>ABS(H89)</f>
        <v/>
      </c>
      <c r="J89" s="6">
        <f>SQRT(2*(G89-F89)^2/(G89+F89))</f>
        <v/>
      </c>
      <c r="K89" s="6">
        <f>J89*2</f>
        <v/>
      </c>
    </row>
    <row r="90">
      <c r="A90" t="inlineStr">
        <is>
          <t>1st Calibration</t>
        </is>
      </c>
      <c r="B90" t="n">
        <v>8057550</v>
      </c>
      <c r="C90" t="inlineStr">
        <is>
          <t>CSAH 61 (Flying Cloud Dr) at Regional Center Rd</t>
        </is>
      </c>
      <c r="D90" t="inlineStr">
        <is>
          <t>2026-04-14</t>
        </is>
      </c>
      <c r="E90" t="inlineStr">
        <is>
          <t>15:00:00</t>
        </is>
      </c>
      <c r="F90" t="n">
        <v>431</v>
      </c>
      <c r="G90" t="n">
        <v>428</v>
      </c>
      <c r="H90" s="5">
        <f>(G90-F90)/F90</f>
        <v/>
      </c>
      <c r="I90" s="5">
        <f>ABS(H90)</f>
        <v/>
      </c>
      <c r="J90" s="6">
        <f>SQRT(2*(G90-F90)^2/(G90+F90))</f>
        <v/>
      </c>
      <c r="K90" s="6">
        <f>J90*2</f>
        <v/>
      </c>
    </row>
    <row r="91">
      <c r="A91" t="inlineStr">
        <is>
          <t>1st Calibration</t>
        </is>
      </c>
      <c r="B91" t="n">
        <v>8051900</v>
      </c>
      <c r="C91" t="inlineStr">
        <is>
          <t>CSAH 109 (85th Ave N) at Edinbrook Pkwy N</t>
        </is>
      </c>
      <c r="D91" t="inlineStr">
        <is>
          <t>2026-02-20</t>
        </is>
      </c>
      <c r="E91" t="inlineStr">
        <is>
          <t>08:30:00</t>
        </is>
      </c>
      <c r="F91" t="n">
        <v>209</v>
      </c>
      <c r="G91" t="n">
        <v>211</v>
      </c>
      <c r="H91" s="5">
        <f>(G91-F91)/F91</f>
        <v/>
      </c>
      <c r="I91" s="5">
        <f>ABS(H91)</f>
        <v/>
      </c>
      <c r="J91" s="6">
        <f>SQRT(2*(G91-F91)^2/(G91+F91))</f>
        <v/>
      </c>
      <c r="K91" s="6">
        <f>J91*2</f>
        <v/>
      </c>
    </row>
    <row r="92">
      <c r="A92" t="inlineStr">
        <is>
          <t>1st Calibration</t>
        </is>
      </c>
      <c r="B92" t="n">
        <v>8033300</v>
      </c>
      <c r="C92" t="inlineStr">
        <is>
          <t>CSAH 88 (New Brighton Blvd) at St Anthony Blvd</t>
        </is>
      </c>
      <c r="D92" t="inlineStr">
        <is>
          <t>2026-05-04</t>
        </is>
      </c>
      <c r="E92" t="inlineStr">
        <is>
          <t>08:00:00</t>
        </is>
      </c>
      <c r="F92" t="n">
        <v>431</v>
      </c>
      <c r="G92" t="n">
        <v>429</v>
      </c>
      <c r="H92" s="5">
        <f>(G92-F92)/F92</f>
        <v/>
      </c>
      <c r="I92" s="5">
        <f>ABS(H92)</f>
        <v/>
      </c>
      <c r="J92" s="6">
        <f>SQRT(2*(G92-F92)^2/(G92+F92))</f>
        <v/>
      </c>
      <c r="K92" s="6">
        <f>J92*2</f>
        <v/>
      </c>
    </row>
    <row r="93">
      <c r="A93" t="inlineStr">
        <is>
          <t>1st Calibration</t>
        </is>
      </c>
      <c r="B93" t="n">
        <v>8037300</v>
      </c>
      <c r="C93" t="inlineStr">
        <is>
          <t>CSAH 1 (Pioneer Trail) at Homeward Hills Rd</t>
        </is>
      </c>
      <c r="D93" t="inlineStr">
        <is>
          <t>2025-12-29</t>
        </is>
      </c>
      <c r="E93" t="inlineStr">
        <is>
          <t>08:30:00</t>
        </is>
      </c>
      <c r="F93" t="n">
        <v>223</v>
      </c>
      <c r="G93" t="n">
        <v>222</v>
      </c>
      <c r="H93" s="5">
        <f>(G93-F93)/F93</f>
        <v/>
      </c>
      <c r="I93" s="5">
        <f>ABS(H93)</f>
        <v/>
      </c>
      <c r="J93" s="6">
        <f>SQRT(2*(G93-F93)^2/(G93+F93))</f>
        <v/>
      </c>
      <c r="K93" s="6">
        <f>J93*2</f>
        <v/>
      </c>
    </row>
    <row r="94">
      <c r="A94" t="inlineStr">
        <is>
          <t>1st Calibration</t>
        </is>
      </c>
      <c r="B94" t="n">
        <v>8026100</v>
      </c>
      <c r="C94" t="inlineStr">
        <is>
          <t>CSAH 152 (Brooklyn Blvd) at 65th Ave N</t>
        </is>
      </c>
      <c r="D94" t="inlineStr">
        <is>
          <t>2026-05-22</t>
        </is>
      </c>
      <c r="E94" t="inlineStr">
        <is>
          <t>15:15:00</t>
        </is>
      </c>
      <c r="F94" t="n">
        <v>621</v>
      </c>
      <c r="G94" t="n">
        <v>620</v>
      </c>
      <c r="H94" s="5">
        <f>(G94-F94)/F94</f>
        <v/>
      </c>
      <c r="I94" s="5">
        <f>ABS(H94)</f>
        <v/>
      </c>
      <c r="J94" s="6">
        <f>SQRT(2*(G94-F94)^2/(G94+F94))</f>
        <v/>
      </c>
      <c r="K94" s="6">
        <f>J94*2</f>
        <v/>
      </c>
    </row>
    <row r="95">
      <c r="A95" t="inlineStr">
        <is>
          <t>1st Calibration</t>
        </is>
      </c>
      <c r="B95" t="n">
        <v>8026800</v>
      </c>
      <c r="C95" t="inlineStr">
        <is>
          <t>CSAH 152 (Brooklyn Blvd / Osseo Rd) at 49th Ave N BACKHAUL</t>
        </is>
      </c>
      <c r="D95" t="inlineStr">
        <is>
          <t>2026-05-21</t>
        </is>
      </c>
      <c r="E95" t="inlineStr">
        <is>
          <t>07:15:00</t>
        </is>
      </c>
      <c r="F95" t="n">
        <v>226</v>
      </c>
      <c r="G95" t="n">
        <v>226</v>
      </c>
      <c r="H95" s="5">
        <f>(G95-F95)/F95</f>
        <v/>
      </c>
      <c r="I95" s="5">
        <f>ABS(H95)</f>
        <v/>
      </c>
      <c r="J95" s="6">
        <f>SQRT(2*(G95-F95)^2/(G95+F95))</f>
        <v/>
      </c>
      <c r="K95" s="6">
        <f>J95*2</f>
        <v/>
      </c>
    </row>
    <row r="96">
      <c r="A96" t="inlineStr">
        <is>
          <t>1st Calibration</t>
        </is>
      </c>
      <c r="B96" t="n">
        <v>9010720</v>
      </c>
      <c r="C96" t="inlineStr">
        <is>
          <t>CSAH 30 (93rd Ave) at CSAH 121 (Maple Grove Pkwy)</t>
        </is>
      </c>
      <c r="D96" t="inlineStr">
        <is>
          <t>2026-03-24</t>
        </is>
      </c>
      <c r="E96" t="inlineStr">
        <is>
          <t>12:15:00</t>
        </is>
      </c>
      <c r="F96" t="n">
        <v>585</v>
      </c>
      <c r="G96" t="n">
        <v>585</v>
      </c>
      <c r="H96" s="5">
        <f>(G96-F96)/F96</f>
        <v/>
      </c>
      <c r="I96" s="5">
        <f>ABS(H96)</f>
        <v/>
      </c>
      <c r="J96" s="6">
        <f>SQRT(2*(G96-F96)^2/(G96+F96))</f>
        <v/>
      </c>
      <c r="K96" s="6">
        <f>J96*2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</cols>
  <sheetData>
    <row r="1">
      <c r="A1" s="7" t="inlineStr">
        <is>
          <t>TMC Vision Camera Accuracy — Live KPIs</t>
        </is>
      </c>
    </row>
    <row r="2" ht="28" customHeight="1">
      <c r="A2" s="8" t="inlineStr">
        <is>
          <t>Every value below is a formula over the TMC_Data table (Data tab) — edit a row there and these update automatically.</t>
        </is>
      </c>
    </row>
    <row r="3"/>
    <row r="4">
      <c r="A4" s="4" t="inlineStr">
        <is>
          <t>Metric</t>
        </is>
      </c>
      <c r="B4" s="4" t="inlineStr">
        <is>
          <t>Baseline</t>
        </is>
      </c>
      <c r="C4" s="4" t="inlineStr">
        <is>
          <t>1st Calibration</t>
        </is>
      </c>
    </row>
    <row r="5">
      <c r="A5" t="inlineStr">
        <is>
          <t>Intersections with data</t>
        </is>
      </c>
      <c r="B5" s="9">
        <f>COUNTIFS(TMC_Data[Round],"Baseline")</f>
        <v/>
      </c>
      <c r="C5" s="9">
        <f>COUNTIFS(TMC_Data[Round],"1st Calibration")</f>
        <v/>
      </c>
    </row>
    <row r="6">
      <c r="A6" t="inlineStr">
        <is>
          <t>Mean % Difference</t>
        </is>
      </c>
      <c r="B6" s="5">
        <f>AVERAGEIFS(TMC_Data[Pct_Diff],TMC_Data[Round],"Baseline")</f>
        <v/>
      </c>
      <c r="C6" s="5">
        <f>AVERAGEIFS(TMC_Data[Pct_Diff],TMC_Data[Round],"1st Calibration")</f>
        <v/>
      </c>
    </row>
    <row r="7">
      <c r="A7" t="inlineStr">
        <is>
          <t>Mean |% Difference|</t>
        </is>
      </c>
      <c r="B7" s="5">
        <f>AVERAGEIFS(TMC_Data[Abs_Pct_Diff],TMC_Data[Round],"Baseline")</f>
        <v/>
      </c>
      <c r="C7" s="5">
        <f>AVERAGEIFS(TMC_Data[Abs_Pct_Diff],TMC_Data[Round],"1st Calibration")</f>
        <v/>
      </c>
    </row>
    <row r="8">
      <c r="A8" t="inlineStr">
        <is>
          <t>Mean GEH (as-collected)</t>
        </is>
      </c>
      <c r="B8" s="6">
        <f>AVERAGEIFS(TMC_Data[GEH_15min],TMC_Data[Round],"Baseline")</f>
        <v/>
      </c>
      <c r="C8" s="6">
        <f>AVERAGEIFS(TMC_Data[GEH_15min],TMC_Data[Round],"1st Calibration")</f>
        <v/>
      </c>
    </row>
    <row r="9">
      <c r="A9" t="inlineStr">
        <is>
          <t>Mean GEH (hourly-equivalent)</t>
        </is>
      </c>
      <c r="B9" s="6">
        <f>AVERAGEIFS(TMC_Data[GEH_Hourly_Equiv],TMC_Data[Round],"Baseline")</f>
        <v/>
      </c>
      <c r="C9" s="6">
        <f>AVERAGEIFS(TMC_Data[GEH_Hourly_Equiv],TMC_Data[Round],"1st Calibration")</f>
        <v/>
      </c>
    </row>
    <row r="10">
      <c r="A10" t="inlineStr">
        <is>
          <t>% GEH&lt;5 (as-collected)</t>
        </is>
      </c>
      <c r="B10" s="5">
        <f>COUNTIFS(TMC_Data[Round],"Baseline",TMC_Data[GEH_15min],"&lt;5")/COUNTIFS(TMC_Data[Round],"Baseline")</f>
        <v/>
      </c>
      <c r="C10" s="5">
        <f>COUNTIFS(TMC_Data[Round],"1st Calibration",TMC_Data[GEH_15min],"&lt;5")/COUNTIFS(TMC_Data[Round],"1st Calibration")</f>
        <v/>
      </c>
    </row>
    <row r="11">
      <c r="A11" t="inlineStr">
        <is>
          <t>% GEH&lt;5 (hourly-equivalent)</t>
        </is>
      </c>
      <c r="B11" s="5">
        <f>COUNTIFS(TMC_Data[Round],"Baseline",TMC_Data[GEH_Hourly_Equiv],"&lt;5")/COUNTIFS(TMC_Data[Round],"Baseline")</f>
        <v/>
      </c>
      <c r="C11" s="5">
        <f>COUNTIFS(TMC_Data[Round],"1st Calibration",TMC_Data[GEH_Hourly_Equiv],"&lt;5")/COUNTIFS(TMC_Data[Round],"1st Calibration")</f>
        <v/>
      </c>
    </row>
    <row r="13" ht="42" customHeight="1">
      <c r="A13" s="8" t="inlineStr">
        <is>
          <t>Note: counts are 15-minute samples, not hourly volumes, so the conventional GEH&lt;5 threshold (calibrated for hourly counts) is shown on both bases above rather than applied to only one — see the Overview tab.</t>
        </is>
      </c>
    </row>
  </sheetData>
  <mergeCells count="3">
    <mergeCell ref="A1:C1"/>
    <mergeCell ref="A13:C1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1">
      <c r="A1" s="10" t="inlineStr">
        <is>
          <t>Progress at repeated intersections — live lookups from TMC_Data</t>
        </is>
      </c>
    </row>
    <row r="2" ht="28" customHeight="1">
      <c r="A2" s="8" t="inlineStr">
        <is>
          <t>16 intersections appear in both rounds. Each cell below is a SUMPRODUCT lookup into TMC_Data by ID and Round, so these also update if the underlying counts change.</t>
        </is>
      </c>
    </row>
    <row r="3"/>
    <row r="4">
      <c r="A4" s="4" t="inlineStr">
        <is>
          <t>Intersection</t>
        </is>
      </c>
      <c r="B4" s="4" t="inlineStr">
        <is>
          <t>Baseline GEH</t>
        </is>
      </c>
      <c r="C4" s="4" t="inlineStr">
        <is>
          <t>Calib. GEH</t>
        </is>
      </c>
      <c r="D4" s="4" t="inlineStr">
        <is>
          <t>Baseline % Diff</t>
        </is>
      </c>
      <c r="E4" s="4" t="inlineStr">
        <is>
          <t>Calib. % Diff</t>
        </is>
      </c>
    </row>
    <row r="5">
      <c r="A5" t="inlineStr">
        <is>
          <t>CSAH 109 (85th Ave N) at Edinbrook Pkwy N</t>
        </is>
      </c>
      <c r="B5" s="6">
        <f>SUMPRODUCT((TMC_Data[ID]=8051900)*(TMC_Data[Round]="Baseline")*TMC_Data[GEH_15min])</f>
        <v/>
      </c>
      <c r="C5" s="6">
        <f>SUMPRODUCT((TMC_Data[ID]=8051900)*(TMC_Data[Round]="1st Calibration")*TMC_Data[GEH_15min])</f>
        <v/>
      </c>
      <c r="D5" s="5">
        <f>SUMPRODUCT((TMC_Data[ID]=8051900)*(TMC_Data[Round]="Baseline")*TMC_Data[Pct_Diff])</f>
        <v/>
      </c>
      <c r="E5" s="5">
        <f>SUMPRODUCT((TMC_Data[ID]=8051900)*(TMC_Data[Round]="1st Calibration")*TMC_Data[Pct_Diff])</f>
        <v/>
      </c>
    </row>
    <row r="6">
      <c r="A6" t="inlineStr">
        <is>
          <t>CSAH 136 (Silver Lake Rd) at 33rd Ave NE</t>
        </is>
      </c>
      <c r="B6" s="6">
        <f>SUMPRODUCT((TMC_Data[ID]=8014800)*(TMC_Data[Round]="Baseline")*TMC_Data[GEH_15min])</f>
        <v/>
      </c>
      <c r="C6" s="6">
        <f>SUMPRODUCT((TMC_Data[ID]=8014800)*(TMC_Data[Round]="1st Calibration")*TMC_Data[GEH_15min])</f>
        <v/>
      </c>
      <c r="D6" s="5">
        <f>SUMPRODUCT((TMC_Data[ID]=8014800)*(TMC_Data[Round]="Baseline")*TMC_Data[Pct_Diff])</f>
        <v/>
      </c>
      <c r="E6" s="5">
        <f>SUMPRODUCT((TMC_Data[ID]=8014800)*(TMC_Data[Round]="1st Calibration")*TMC_Data[Pct_Diff])</f>
        <v/>
      </c>
    </row>
    <row r="7">
      <c r="A7" t="inlineStr">
        <is>
          <t>CSAH 121 (Maple Grove Pkwy) at Hospital Dr</t>
        </is>
      </c>
      <c r="B7" s="6">
        <f>SUMPRODUCT((TMC_Data[ID]=9010690)*(TMC_Data[Round]="Baseline")*TMC_Data[GEH_15min])</f>
        <v/>
      </c>
      <c r="C7" s="6">
        <f>SUMPRODUCT((TMC_Data[ID]=9010690)*(TMC_Data[Round]="1st Calibration")*TMC_Data[GEH_15min])</f>
        <v/>
      </c>
      <c r="D7" s="5">
        <f>SUMPRODUCT((TMC_Data[ID]=9010690)*(TMC_Data[Round]="Baseline")*TMC_Data[Pct_Diff])</f>
        <v/>
      </c>
      <c r="E7" s="5">
        <f>SUMPRODUCT((TMC_Data[ID]=9010690)*(TMC_Data[Round]="1st Calibration")*TMC_Data[Pct_Diff])</f>
        <v/>
      </c>
    </row>
    <row r="8">
      <c r="A8" t="inlineStr">
        <is>
          <t>CSAH 121 (Maple Grove Pkwy) at 99th Ave / Grove Cir</t>
        </is>
      </c>
      <c r="B8" s="6">
        <f>SUMPRODUCT((TMC_Data[ID]=9010695)*(TMC_Data[Round]="Baseline")*TMC_Data[GEH_15min])</f>
        <v/>
      </c>
      <c r="C8" s="6">
        <f>SUMPRODUCT((TMC_Data[ID]=9010695)*(TMC_Data[Round]="1st Calibration")*TMC_Data[GEH_15min])</f>
        <v/>
      </c>
      <c r="D8" s="5">
        <f>SUMPRODUCT((TMC_Data[ID]=9010695)*(TMC_Data[Round]="Baseline")*TMC_Data[Pct_Diff])</f>
        <v/>
      </c>
      <c r="E8" s="5">
        <f>SUMPRODUCT((TMC_Data[ID]=9010695)*(TMC_Data[Round]="1st Calibration")*TMC_Data[Pct_Diff])</f>
        <v/>
      </c>
    </row>
    <row r="9">
      <c r="A9" t="inlineStr">
        <is>
          <t>CSAH 152 (Brooklyn Blvd) at 65th Ave N</t>
        </is>
      </c>
      <c r="B9" s="6">
        <f>SUMPRODUCT((TMC_Data[ID]=8026100)*(TMC_Data[Round]="Baseline")*TMC_Data[GEH_15min])</f>
        <v/>
      </c>
      <c r="C9" s="6">
        <f>SUMPRODUCT((TMC_Data[ID]=8026100)*(TMC_Data[Round]="1st Calibration")*TMC_Data[GEH_15min])</f>
        <v/>
      </c>
      <c r="D9" s="5">
        <f>SUMPRODUCT((TMC_Data[ID]=8026100)*(TMC_Data[Round]="Baseline")*TMC_Data[Pct_Diff])</f>
        <v/>
      </c>
      <c r="E9" s="5">
        <f>SUMPRODUCT((TMC_Data[ID]=8026100)*(TMC_Data[Round]="1st Calibration")*TMC_Data[Pct_Diff])</f>
        <v/>
      </c>
    </row>
    <row r="10">
      <c r="A10" t="inlineStr">
        <is>
          <t>CSAH 19 (Manitou Rd) at Smithtown Rd</t>
        </is>
      </c>
      <c r="B10" s="6">
        <f>SUMPRODUCT((TMC_Data[ID]=8054100)*(TMC_Data[Round]="Baseline")*TMC_Data[GEH_15min])</f>
        <v/>
      </c>
      <c r="C10" s="6">
        <f>SUMPRODUCT((TMC_Data[ID]=8054100)*(TMC_Data[Round]="1st Calibration")*TMC_Data[GEH_15min])</f>
        <v/>
      </c>
      <c r="D10" s="5">
        <f>SUMPRODUCT((TMC_Data[ID]=8054100)*(TMC_Data[Round]="Baseline")*TMC_Data[Pct_Diff])</f>
        <v/>
      </c>
      <c r="E10" s="5">
        <f>SUMPRODUCT((TMC_Data[ID]=8054100)*(TMC_Data[Round]="1st Calibration")*TMC_Data[Pct_Diff])</f>
        <v/>
      </c>
    </row>
    <row r="11">
      <c r="A11" t="inlineStr">
        <is>
          <t>CSAH 130 (West Broadway) at 76th Ave N</t>
        </is>
      </c>
      <c r="B11" s="6">
        <f>SUMPRODUCT((TMC_Data[ID]=8045400)*(TMC_Data[Round]="Baseline")*TMC_Data[GEH_15min])</f>
        <v/>
      </c>
      <c r="C11" s="6">
        <f>SUMPRODUCT((TMC_Data[ID]=8045400)*(TMC_Data[Round]="1st Calibration")*TMC_Data[GEH_15min])</f>
        <v/>
      </c>
      <c r="D11" s="5">
        <f>SUMPRODUCT((TMC_Data[ID]=8045400)*(TMC_Data[Round]="Baseline")*TMC_Data[Pct_Diff])</f>
        <v/>
      </c>
      <c r="E11" s="5">
        <f>SUMPRODUCT((TMC_Data[ID]=8045400)*(TMC_Data[Round]="1st Calibration")*TMC_Data[Pct_Diff])</f>
        <v/>
      </c>
    </row>
    <row r="12">
      <c r="A12" t="inlineStr">
        <is>
          <t>CSAH 73 (Hopkins Crossroad) at Wayzata Blvd / North Frontage Road</t>
        </is>
      </c>
      <c r="B12" s="6">
        <f>SUMPRODUCT((TMC_Data[ID]=8058010)*(TMC_Data[Round]="Baseline")*TMC_Data[GEH_15min])</f>
        <v/>
      </c>
      <c r="C12" s="6">
        <f>SUMPRODUCT((TMC_Data[ID]=8058010)*(TMC_Data[Round]="1st Calibration")*TMC_Data[GEH_15min])</f>
        <v/>
      </c>
      <c r="D12" s="5">
        <f>SUMPRODUCT((TMC_Data[ID]=8058010)*(TMC_Data[Round]="Baseline")*TMC_Data[Pct_Diff])</f>
        <v/>
      </c>
      <c r="E12" s="5">
        <f>SUMPRODUCT((TMC_Data[ID]=8058010)*(TMC_Data[Round]="1st Calibration")*TMC_Data[Pct_Diff])</f>
        <v/>
      </c>
    </row>
    <row r="13">
      <c r="A13" t="inlineStr">
        <is>
          <t>CSAH 81 (Main St) at John Milless Dr / Industrial Blvd</t>
        </is>
      </c>
      <c r="B13" s="6">
        <f>SUMPRODUCT((TMC_Data[ID]=8057890)*(TMC_Data[Round]="Baseline")*TMC_Data[GEH_15min])</f>
        <v/>
      </c>
      <c r="C13" s="6">
        <f>SUMPRODUCT((TMC_Data[ID]=8057890)*(TMC_Data[Round]="1st Calibration")*TMC_Data[GEH_15min])</f>
        <v/>
      </c>
      <c r="D13" s="5">
        <f>SUMPRODUCT((TMC_Data[ID]=8057890)*(TMC_Data[Round]="Baseline")*TMC_Data[Pct_Diff])</f>
        <v/>
      </c>
      <c r="E13" s="5">
        <f>SUMPRODUCT((TMC_Data[ID]=8057890)*(TMC_Data[Round]="1st Calibration")*TMC_Data[Pct_Diff])</f>
        <v/>
      </c>
    </row>
    <row r="14">
      <c r="A14" t="inlineStr">
        <is>
          <t xml:space="preserve">CSAH 28 (E Bush Lake Rd) at 78th St W </t>
        </is>
      </c>
      <c r="B14" s="6">
        <f>SUMPRODUCT((TMC_Data[ID]=8030800)*(TMC_Data[Round]="Baseline")*TMC_Data[GEH_15min])</f>
        <v/>
      </c>
      <c r="C14" s="6">
        <f>SUMPRODUCT((TMC_Data[ID]=8030800)*(TMC_Data[Round]="1st Calibration")*TMC_Data[GEH_15min])</f>
        <v/>
      </c>
      <c r="D14" s="5">
        <f>SUMPRODUCT((TMC_Data[ID]=8030800)*(TMC_Data[Round]="Baseline")*TMC_Data[Pct_Diff])</f>
        <v/>
      </c>
      <c r="E14" s="5">
        <f>SUMPRODUCT((TMC_Data[ID]=8030800)*(TMC_Data[Round]="1st Calibration")*TMC_Data[Pct_Diff])</f>
        <v/>
      </c>
    </row>
    <row r="15">
      <c r="A15" t="inlineStr">
        <is>
          <t>CSAH 101 (County Rd 101) at Hutchins Dr</t>
        </is>
      </c>
      <c r="B15" s="6">
        <f>SUMPRODUCT((TMC_Data[ID]=8049100)*(TMC_Data[Round]="Baseline")*TMC_Data[GEH_15min])</f>
        <v/>
      </c>
      <c r="C15" s="6">
        <f>SUMPRODUCT((TMC_Data[ID]=8049100)*(TMC_Data[Round]="1st Calibration")*TMC_Data[GEH_15min])</f>
        <v/>
      </c>
      <c r="D15" s="5">
        <f>SUMPRODUCT((TMC_Data[ID]=8049100)*(TMC_Data[Round]="Baseline")*TMC_Data[Pct_Diff])</f>
        <v/>
      </c>
      <c r="E15" s="5">
        <f>SUMPRODUCT((TMC_Data[ID]=8049100)*(TMC_Data[Round]="1st Calibration")*TMC_Data[Pct_Diff])</f>
        <v/>
      </c>
    </row>
    <row r="16">
      <c r="A16" t="inlineStr">
        <is>
          <t>CSAH 1 (Pioneer Trail) at Staring Lake Parkway</t>
        </is>
      </c>
      <c r="B16" s="6">
        <f>SUMPRODUCT((TMC_Data[ID]=8052000)*(TMC_Data[Round]="Baseline")*TMC_Data[GEH_15min])</f>
        <v/>
      </c>
      <c r="C16" s="6">
        <f>SUMPRODUCT((TMC_Data[ID]=8052000)*(TMC_Data[Round]="1st Calibration")*TMC_Data[GEH_15min])</f>
        <v/>
      </c>
      <c r="D16" s="5">
        <f>SUMPRODUCT((TMC_Data[ID]=8052000)*(TMC_Data[Round]="Baseline")*TMC_Data[Pct_Diff])</f>
        <v/>
      </c>
      <c r="E16" s="5">
        <f>SUMPRODUCT((TMC_Data[ID]=8052000)*(TMC_Data[Round]="1st Calibration")*TMC_Data[Pct_Diff])</f>
        <v/>
      </c>
    </row>
    <row r="17">
      <c r="A17" t="inlineStr">
        <is>
          <t>CSAH 1 (Pioneer Trail) at Dell Rd</t>
        </is>
      </c>
      <c r="B17" s="6">
        <f>SUMPRODUCT((TMC_Data[ID]=8051400)*(TMC_Data[Round]="Baseline")*TMC_Data[GEH_15min])</f>
        <v/>
      </c>
      <c r="C17" s="6">
        <f>SUMPRODUCT((TMC_Data[ID]=8051400)*(TMC_Data[Round]="1st Calibration")*TMC_Data[GEH_15min])</f>
        <v/>
      </c>
      <c r="D17" s="5">
        <f>SUMPRODUCT((TMC_Data[ID]=8051400)*(TMC_Data[Round]="Baseline")*TMC_Data[Pct_Diff])</f>
        <v/>
      </c>
      <c r="E17" s="5">
        <f>SUMPRODUCT((TMC_Data[ID]=8051400)*(TMC_Data[Round]="1st Calibration")*TMC_Data[Pct_Diff])</f>
        <v/>
      </c>
    </row>
    <row r="18">
      <c r="A18" t="inlineStr">
        <is>
          <t>CSAH 1 (Pioneer Trail) at Bennett Place</t>
        </is>
      </c>
      <c r="B18" s="6">
        <f>SUMPRODUCT((TMC_Data[ID]=8052100)*(TMC_Data[Round]="Baseline")*TMC_Data[GEH_15min])</f>
        <v/>
      </c>
      <c r="C18" s="6">
        <f>SUMPRODUCT((TMC_Data[ID]=8052100)*(TMC_Data[Round]="1st Calibration")*TMC_Data[GEH_15min])</f>
        <v/>
      </c>
      <c r="D18" s="5">
        <f>SUMPRODUCT((TMC_Data[ID]=8052100)*(TMC_Data[Round]="Baseline")*TMC_Data[Pct_Diff])</f>
        <v/>
      </c>
      <c r="E18" s="5">
        <f>SUMPRODUCT((TMC_Data[ID]=8052100)*(TMC_Data[Round]="1st Calibration")*TMC_Data[Pct_Diff])</f>
        <v/>
      </c>
    </row>
    <row r="19">
      <c r="A19" t="inlineStr">
        <is>
          <t>CSAH 1 (Pioneer Trail) at Homeward Hills Rd</t>
        </is>
      </c>
      <c r="B19" s="6">
        <f>SUMPRODUCT((TMC_Data[ID]=8037300)*(TMC_Data[Round]="Baseline")*TMC_Data[GEH_15min])</f>
        <v/>
      </c>
      <c r="C19" s="6">
        <f>SUMPRODUCT((TMC_Data[ID]=8037300)*(TMC_Data[Round]="1st Calibration")*TMC_Data[GEH_15min])</f>
        <v/>
      </c>
      <c r="D19" s="5">
        <f>SUMPRODUCT((TMC_Data[ID]=8037300)*(TMC_Data[Round]="Baseline")*TMC_Data[Pct_Diff])</f>
        <v/>
      </c>
      <c r="E19" s="5">
        <f>SUMPRODUCT((TMC_Data[ID]=8037300)*(TMC_Data[Round]="1st Calibration")*TMC_Data[Pct_Diff])</f>
        <v/>
      </c>
    </row>
    <row r="20">
      <c r="A20" t="inlineStr">
        <is>
          <t>CSAH 1 (Pioneer Trail) at Mitchell Rd</t>
        </is>
      </c>
      <c r="B20" s="6">
        <f>SUMPRODUCT((TMC_Data[ID]=8048500)*(TMC_Data[Round]="Baseline")*TMC_Data[GEH_15min])</f>
        <v/>
      </c>
      <c r="C20" s="6">
        <f>SUMPRODUCT((TMC_Data[ID]=8048500)*(TMC_Data[Round]="1st Calibration")*TMC_Data[GEH_15min])</f>
        <v/>
      </c>
      <c r="D20" s="5">
        <f>SUMPRODUCT((TMC_Data[ID]=8048500)*(TMC_Data[Round]="Baseline")*TMC_Data[Pct_Diff])</f>
        <v/>
      </c>
      <c r="E20" s="5">
        <f>SUMPRODUCT((TMC_Data[ID]=8048500)*(TMC_Data[Round]="1st Calibration")*TMC_Data[Pct_Diff])</f>
        <v/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 ht="30" customHeight="1">
      <c r="A1" s="8" t="inlineStr">
        <is>
          <t>Bound to the full TMC_Data table — add a slicer on 'Round' (Data tab: click table, Insert &gt; Slicer) to filter this live.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2" customWidth="1" min="3" max="3"/>
    <col width="21" customWidth="1" min="4" max="4"/>
    <col width="16" customWidth="1" min="5" max="5"/>
    <col width="18" customWidth="1" min="6" max="6"/>
    <col width="14" customWidth="1" min="7" max="7"/>
    <col width="16" customWidth="1" min="8" max="8"/>
    <col width="14" customWidth="1" min="9" max="9"/>
    <col width="32" customWidth="1" min="10" max="10"/>
    <col width="45" customWidth="1" min="11" max="11"/>
  </cols>
  <sheetData>
    <row r="1">
      <c r="A1" s="4" t="inlineStr">
        <is>
          <t>ID</t>
        </is>
      </c>
      <c r="B1" s="4" t="inlineStr">
        <is>
          <t>Intersection</t>
        </is>
      </c>
      <c r="C1" s="4" t="inlineStr">
        <is>
          <t>Date</t>
        </is>
      </c>
      <c r="D1" s="4" t="inlineStr">
        <is>
          <t>Time of Day</t>
        </is>
      </c>
      <c r="E1" s="4" t="inlineStr">
        <is>
          <t>Duration_Hours</t>
        </is>
      </c>
      <c r="F1" s="4" t="inlineStr">
        <is>
          <t>Consultant_Total</t>
        </is>
      </c>
      <c r="G1" s="4" t="inlineStr">
        <is>
          <t>Vision_Total</t>
        </is>
      </c>
      <c r="H1" s="4" t="inlineStr">
        <is>
          <t>Pct_Diff</t>
        </is>
      </c>
      <c r="I1" s="4" t="inlineStr">
        <is>
          <t>Abs_Pct_Diff</t>
        </is>
      </c>
      <c r="J1" s="4" t="inlineStr">
        <is>
          <t>GEH</t>
        </is>
      </c>
      <c r="K1" s="4" t="inlineStr">
        <is>
          <t>GEH_Hourly_Rate</t>
        </is>
      </c>
    </row>
    <row r="2">
      <c r="A2" t="n">
        <v>8027600</v>
      </c>
      <c r="B2" t="inlineStr">
        <is>
          <t>CSAH 17 (France Ave) at I-494 N Ramp / 78th St</t>
        </is>
      </c>
      <c r="C2" t="inlineStr">
        <is>
          <t>2025-04-16</t>
        </is>
      </c>
      <c r="D2" t="inlineStr">
        <is>
          <t>6:00 AM TO 7:00 PM</t>
        </is>
      </c>
      <c r="E2" s="11" t="n">
        <v>13</v>
      </c>
      <c r="F2" t="n">
        <v>99440</v>
      </c>
      <c r="G2" t="n">
        <v>27674</v>
      </c>
      <c r="H2" s="5">
        <f>(G2-F2)/F2</f>
        <v/>
      </c>
      <c r="I2" s="5">
        <f>ABS(H2)</f>
        <v/>
      </c>
      <c r="J2" s="6">
        <f>SQRT(2*(G2-F2)^2/(G2+F2))</f>
        <v/>
      </c>
      <c r="K2" s="6">
        <f>SQRT(2*((G2/E2)-(F2/E2))^2/((F2/E2)+(G2/E2)))</f>
        <v/>
      </c>
    </row>
    <row r="3">
      <c r="A3" t="n">
        <v>8019100</v>
      </c>
      <c r="B3" t="inlineStr">
        <is>
          <t>CSAH 34 (Normandale Blvd) at 98th St W</t>
        </is>
      </c>
      <c r="C3" t="inlineStr">
        <is>
          <t>2025-04-08</t>
        </is>
      </c>
      <c r="D3" t="inlineStr">
        <is>
          <t>6:00 AM to 7:00 PM</t>
        </is>
      </c>
      <c r="E3" s="11" t="n">
        <v>13</v>
      </c>
      <c r="F3" t="n">
        <v>13131</v>
      </c>
      <c r="G3" t="n">
        <v>23030</v>
      </c>
      <c r="H3" s="5">
        <f>(G3-F3)/F3</f>
        <v/>
      </c>
      <c r="I3" s="5">
        <f>ABS(H3)</f>
        <v/>
      </c>
      <c r="J3" s="6">
        <f>SQRT(2*(G3-F3)^2/(G3+F3))</f>
        <v/>
      </c>
      <c r="K3" s="6">
        <f>SQRT(2*((G3/E3)-(F3/E3))^2/((F3/E3)+(G3/E3)))</f>
        <v/>
      </c>
    </row>
    <row r="4">
      <c r="A4" t="n">
        <v>8057100</v>
      </c>
      <c r="B4" t="inlineStr">
        <is>
          <t>CSAH 30 (93rd Ave) at Troy Ln N</t>
        </is>
      </c>
      <c r="C4" t="inlineStr">
        <is>
          <t>2026-04-29</t>
        </is>
      </c>
      <c r="D4" t="inlineStr">
        <is>
          <t>5:00 AM to 11:00 PM</t>
        </is>
      </c>
      <c r="E4" s="11" t="n">
        <v>18</v>
      </c>
      <c r="F4" t="n">
        <v>23041</v>
      </c>
      <c r="G4" t="n">
        <v>17596</v>
      </c>
      <c r="H4" s="5">
        <f>(G4-F4)/F4</f>
        <v/>
      </c>
      <c r="I4" s="5">
        <f>ABS(H4)</f>
        <v/>
      </c>
      <c r="J4" s="6">
        <f>SQRT(2*(G4-F4)^2/(G4+F4))</f>
        <v/>
      </c>
      <c r="K4" s="6">
        <f>SQRT(2*((G4/E4)-(F4/E4))^2/((F4/E4)+(G4/E4)))</f>
        <v/>
      </c>
    </row>
    <row r="5">
      <c r="A5" t="n">
        <v>8035100</v>
      </c>
      <c r="B5" t="inlineStr">
        <is>
          <t>CSAH 101 (Central Ave) at Wayzata Blvd - Master Controller</t>
        </is>
      </c>
      <c r="C5" t="inlineStr">
        <is>
          <t>2025-04-15</t>
        </is>
      </c>
      <c r="D5" t="inlineStr">
        <is>
          <t>5:00 AM to 11:00 PM</t>
        </is>
      </c>
      <c r="E5" s="11" t="n">
        <v>18</v>
      </c>
      <c r="F5" t="n">
        <v>7743</v>
      </c>
      <c r="G5" t="n">
        <v>4837</v>
      </c>
      <c r="H5" s="5">
        <f>(G5-F5)/F5</f>
        <v/>
      </c>
      <c r="I5" s="5">
        <f>ABS(H5)</f>
        <v/>
      </c>
      <c r="J5" s="6">
        <f>SQRT(2*(G5-F5)^2/(G5+F5))</f>
        <v/>
      </c>
      <c r="K5" s="6">
        <f>SQRT(2*((G5/E5)-(F5/E5))^2/((F5/E5)+(G5/E5)))</f>
        <v/>
      </c>
    </row>
    <row r="6">
      <c r="A6" t="n">
        <v>8023600</v>
      </c>
      <c r="B6" t="inlineStr">
        <is>
          <t>CSAH 53 (66th St) at Lakeshore Dr / Rae Dr</t>
        </is>
      </c>
      <c r="C6" t="inlineStr">
        <is>
          <t>2025-04-23</t>
        </is>
      </c>
      <c r="D6" t="inlineStr">
        <is>
          <t>6:00 AM TO 7:00 PM</t>
        </is>
      </c>
      <c r="E6" s="11" t="n">
        <v>13</v>
      </c>
      <c r="F6" t="n">
        <v>2530</v>
      </c>
      <c r="G6" t="n">
        <v>1162</v>
      </c>
      <c r="H6" s="5">
        <f>(G6-F6)/F6</f>
        <v/>
      </c>
      <c r="I6" s="5">
        <f>ABS(H6)</f>
        <v/>
      </c>
      <c r="J6" s="6">
        <f>SQRT(2*(G6-F6)^2/(G6+F6))</f>
        <v/>
      </c>
      <c r="K6" s="6">
        <f>SQRT(2*((G6/E6)-(F6/E6))^2/((F6/E6)+(G6/E6)))</f>
        <v/>
      </c>
    </row>
    <row r="7">
      <c r="A7" t="n">
        <v>8054700</v>
      </c>
      <c r="B7" t="inlineStr">
        <is>
          <t>CSAH 158 (Gleason Rd) at Vernon Ave S</t>
        </is>
      </c>
      <c r="C7" t="inlineStr">
        <is>
          <t>2025-04-15</t>
        </is>
      </c>
      <c r="D7" t="inlineStr">
        <is>
          <t>6:00 AM TO 7:00 PM</t>
        </is>
      </c>
      <c r="E7" s="11" t="n">
        <v>13</v>
      </c>
      <c r="F7" t="n">
        <v>11409</v>
      </c>
      <c r="G7" t="n">
        <v>8288</v>
      </c>
      <c r="H7" s="5">
        <f>(G7-F7)/F7</f>
        <v/>
      </c>
      <c r="I7" s="5">
        <f>ABS(H7)</f>
        <v/>
      </c>
      <c r="J7" s="6">
        <f>SQRT(2*(G7-F7)^2/(G7+F7))</f>
        <v/>
      </c>
      <c r="K7" s="6">
        <f>SQRT(2*((G7/E7)-(F7/E7))^2/((F7/E7)+(G7/E7)))</f>
        <v/>
      </c>
    </row>
    <row r="8">
      <c r="A8" t="n">
        <v>8033500</v>
      </c>
      <c r="B8" t="inlineStr">
        <is>
          <t>CSAH 136 (Silver Lake Rd) at St Anthony Blvd</t>
        </is>
      </c>
      <c r="C8" t="inlineStr">
        <is>
          <t>2025-04-17</t>
        </is>
      </c>
      <c r="D8" t="inlineStr">
        <is>
          <t>6:00 AM to 7:00 PM</t>
        </is>
      </c>
      <c r="E8" s="11" t="n">
        <v>13</v>
      </c>
      <c r="F8" t="n">
        <v>15289</v>
      </c>
      <c r="G8" t="n">
        <v>11785</v>
      </c>
      <c r="H8" s="5">
        <f>(G8-F8)/F8</f>
        <v/>
      </c>
      <c r="I8" s="5">
        <f>ABS(H8)</f>
        <v/>
      </c>
      <c r="J8" s="6">
        <f>SQRT(2*(G8-F8)^2/(G8+F8))</f>
        <v/>
      </c>
      <c r="K8" s="6">
        <f>SQRT(2*((G8/E8)-(F8/E8))^2/((F8/E8)+(G8/E8)))</f>
        <v/>
      </c>
    </row>
    <row r="9">
      <c r="A9" t="n">
        <v>8057600</v>
      </c>
      <c r="B9" t="inlineStr">
        <is>
          <t>CSAH 61 (Flying Cloud Dr) at Singletree Ln</t>
        </is>
      </c>
      <c r="C9" t="inlineStr">
        <is>
          <t>2025-11-05</t>
        </is>
      </c>
      <c r="D9" t="inlineStr">
        <is>
          <t>6:00 AM TO 7:00 PM</t>
        </is>
      </c>
      <c r="E9" s="11" t="n">
        <v>13</v>
      </c>
      <c r="F9" t="n">
        <v>25988</v>
      </c>
      <c r="G9" t="n">
        <v>21937</v>
      </c>
      <c r="H9" s="5">
        <f>(G9-F9)/F9</f>
        <v/>
      </c>
      <c r="I9" s="5">
        <f>ABS(H9)</f>
        <v/>
      </c>
      <c r="J9" s="6">
        <f>SQRT(2*(G9-F9)^2/(G9+F9))</f>
        <v/>
      </c>
      <c r="K9" s="6">
        <f>SQRT(2*((G9/E9)-(F9/E9))^2/((F9/E9)+(G9/E9)))</f>
        <v/>
      </c>
    </row>
    <row r="10">
      <c r="A10" t="n">
        <v>8047700</v>
      </c>
      <c r="B10" t="inlineStr">
        <is>
          <t>CSAH 31 (York Ave) at Southdale Exit</t>
        </is>
      </c>
      <c r="C10" t="inlineStr">
        <is>
          <t>2025-04-16</t>
        </is>
      </c>
      <c r="D10" t="inlineStr">
        <is>
          <t>6:00 AM to 7:00 PM</t>
        </is>
      </c>
      <c r="E10" s="11" t="n">
        <v>13</v>
      </c>
      <c r="F10" t="n">
        <v>21939</v>
      </c>
      <c r="G10" t="n">
        <v>18298</v>
      </c>
      <c r="H10" s="5">
        <f>(G10-F10)/F10</f>
        <v/>
      </c>
      <c r="I10" s="5">
        <f>ABS(H10)</f>
        <v/>
      </c>
      <c r="J10" s="6">
        <f>SQRT(2*(G10-F10)^2/(G10+F10))</f>
        <v/>
      </c>
      <c r="K10" s="6">
        <f>SQRT(2*((G10/E10)-(F10/E10))^2/((F10/E10)+(G10/E10)))</f>
        <v/>
      </c>
    </row>
    <row r="11">
      <c r="A11" t="n">
        <v>8030800</v>
      </c>
      <c r="B11" t="inlineStr">
        <is>
          <t xml:space="preserve">CSAH 28 (E Bush Lake Rd) at 78th St W </t>
        </is>
      </c>
      <c r="C11" t="inlineStr">
        <is>
          <t>2025-04-08</t>
        </is>
      </c>
      <c r="D11" t="inlineStr">
        <is>
          <t>6:00 AM TO 7:00 PM</t>
        </is>
      </c>
      <c r="E11" s="11" t="n">
        <v>13</v>
      </c>
      <c r="F11" t="n">
        <v>21171</v>
      </c>
      <c r="G11" t="n">
        <v>17834</v>
      </c>
      <c r="H11" s="5">
        <f>(G11-F11)/F11</f>
        <v/>
      </c>
      <c r="I11" s="5">
        <f>ABS(H11)</f>
        <v/>
      </c>
      <c r="J11" s="6">
        <f>SQRT(2*(G11-F11)^2/(G11+F11))</f>
        <v/>
      </c>
      <c r="K11" s="6">
        <f>SQRT(2*((G11/E11)-(F11/E11))^2/((F11/E11)+(G11/E11)))</f>
        <v/>
      </c>
    </row>
    <row r="12">
      <c r="A12" t="n">
        <v>8057550</v>
      </c>
      <c r="B12" t="inlineStr">
        <is>
          <t>CSAH 61 (Flying Cloud Dr) at Regional Center Rd</t>
        </is>
      </c>
      <c r="C12" t="inlineStr">
        <is>
          <t>2025-11-05</t>
        </is>
      </c>
      <c r="D12" t="inlineStr">
        <is>
          <t>6:00 AM TO 7:00 PM</t>
        </is>
      </c>
      <c r="E12" s="11" t="n">
        <v>13</v>
      </c>
      <c r="F12" t="n">
        <v>20971</v>
      </c>
      <c r="G12" t="n">
        <v>17727</v>
      </c>
      <c r="H12" s="5">
        <f>(G12-F12)/F12</f>
        <v/>
      </c>
      <c r="I12" s="5">
        <f>ABS(H12)</f>
        <v/>
      </c>
      <c r="J12" s="6">
        <f>SQRT(2*(G12-F12)^2/(G12+F12))</f>
        <v/>
      </c>
      <c r="K12" s="6">
        <f>SQRT(2*((G12/E12)-(F12/E12))^2/((F12/E12)+(G12/E12)))</f>
        <v/>
      </c>
    </row>
    <row r="13">
      <c r="A13" t="n">
        <v>8054900</v>
      </c>
      <c r="B13" t="inlineStr">
        <is>
          <t>CSAH 28 (E Bush Lake Rd) at American Blvd / Green Valley Dr</t>
        </is>
      </c>
      <c r="C13" t="inlineStr">
        <is>
          <t>2025-04-08</t>
        </is>
      </c>
      <c r="D13" t="inlineStr">
        <is>
          <t>6:00 AM TO 7:00 PM</t>
        </is>
      </c>
      <c r="E13" s="11" t="n">
        <v>13</v>
      </c>
      <c r="F13" t="n">
        <v>12382</v>
      </c>
      <c r="G13" t="n">
        <v>10037</v>
      </c>
      <c r="H13" s="5">
        <f>(G13-F13)/F13</f>
        <v/>
      </c>
      <c r="I13" s="5">
        <f>ABS(H13)</f>
        <v/>
      </c>
      <c r="J13" s="6">
        <f>SQRT(2*(G13-F13)^2/(G13+F13))</f>
        <v/>
      </c>
      <c r="K13" s="6">
        <f>SQRT(2*((G13/E13)-(F13/E13))^2/((F13/E13)+(G13/E13)))</f>
        <v/>
      </c>
    </row>
    <row r="14">
      <c r="A14" t="n">
        <v>8058010</v>
      </c>
      <c r="B14" t="inlineStr">
        <is>
          <t>CSAH 73 (Hopkins Crossroad) at Wayzata Blvd / North Frontage Road</t>
        </is>
      </c>
      <c r="C14" t="inlineStr">
        <is>
          <t>2025-05-01</t>
        </is>
      </c>
      <c r="D14" t="inlineStr">
        <is>
          <t>5:00 AM to 11:00 PM</t>
        </is>
      </c>
      <c r="E14" s="11" t="n">
        <v>18</v>
      </c>
      <c r="F14" t="n">
        <v>18666</v>
      </c>
      <c r="G14" t="n">
        <v>16482</v>
      </c>
      <c r="H14" s="5">
        <f>(G14-F14)/F14</f>
        <v/>
      </c>
      <c r="I14" s="5">
        <f>ABS(H14)</f>
        <v/>
      </c>
      <c r="J14" s="6">
        <f>SQRT(2*(G14-F14)^2/(G14+F14))</f>
        <v/>
      </c>
      <c r="K14" s="6">
        <f>SQRT(2*((G14/E14)-(F14/E14))^2/((F14/E14)+(G14/E14)))</f>
        <v/>
      </c>
    </row>
    <row r="15">
      <c r="A15" t="n">
        <v>8055900</v>
      </c>
      <c r="B15" t="inlineStr">
        <is>
          <t>CSAH 30 (97th Ave) at CSAH 101 (Brockton Ln N)</t>
        </is>
      </c>
      <c r="C15" t="inlineStr">
        <is>
          <t>2026-04-29</t>
        </is>
      </c>
      <c r="D15" t="inlineStr">
        <is>
          <t>6:00 AM to 7:00 PM</t>
        </is>
      </c>
      <c r="E15" s="11" t="n">
        <v>13</v>
      </c>
      <c r="F15" t="n">
        <v>22606</v>
      </c>
      <c r="G15" t="n">
        <v>20197</v>
      </c>
      <c r="H15" s="5">
        <f>(G15-F15)/F15</f>
        <v/>
      </c>
      <c r="I15" s="5">
        <f>ABS(H15)</f>
        <v/>
      </c>
      <c r="J15" s="6">
        <f>SQRT(2*(G15-F15)^2/(G15+F15))</f>
        <v/>
      </c>
      <c r="K15" s="6">
        <f>SQRT(2*((G15/E15)-(F15/E15))^2/((F15/E15)+(G15/E15)))</f>
        <v/>
      </c>
    </row>
    <row r="16">
      <c r="A16" t="n">
        <v>8031600</v>
      </c>
      <c r="B16" t="inlineStr">
        <is>
          <t>CSAH 10 (Bass Lake Rd) at Sycamore Ln / Prudential Bldg - Master Controller</t>
        </is>
      </c>
      <c r="C16" t="inlineStr">
        <is>
          <t>2026-04-29</t>
        </is>
      </c>
      <c r="D16" t="inlineStr">
        <is>
          <t>5:00 AM to 11:00 PM</t>
        </is>
      </c>
      <c r="E16" s="11" t="n">
        <v>18</v>
      </c>
      <c r="F16" t="n">
        <v>29888</v>
      </c>
      <c r="G16" t="n">
        <v>27273</v>
      </c>
      <c r="H16" s="5">
        <f>(G16-F16)/F16</f>
        <v/>
      </c>
      <c r="I16" s="5">
        <f>ABS(H16)</f>
        <v/>
      </c>
      <c r="J16" s="6">
        <f>SQRT(2*(G16-F16)^2/(G16+F16))</f>
        <v/>
      </c>
      <c r="K16" s="6">
        <f>SQRT(2*((G16/E16)-(F16/E16))^2/((F16/E16)+(G16/E16)))</f>
        <v/>
      </c>
    </row>
    <row r="17">
      <c r="A17" t="n">
        <v>8057400</v>
      </c>
      <c r="B17" t="inlineStr">
        <is>
          <t>CSAH 61 (Flying Cloud Dr) at Anderson Lakes Pkwy</t>
        </is>
      </c>
      <c r="C17" t="inlineStr">
        <is>
          <t>2025-11-05</t>
        </is>
      </c>
      <c r="D17" t="inlineStr">
        <is>
          <t>6:00 AM TO 7:00 PM</t>
        </is>
      </c>
      <c r="E17" s="11" t="n">
        <v>13</v>
      </c>
      <c r="F17" t="n">
        <v>22981</v>
      </c>
      <c r="G17" t="n">
        <v>20720</v>
      </c>
      <c r="H17" s="5">
        <f>(G17-F17)/F17</f>
        <v/>
      </c>
      <c r="I17" s="5">
        <f>ABS(H17)</f>
        <v/>
      </c>
      <c r="J17" s="6">
        <f>SQRT(2*(G17-F17)^2/(G17+F17))</f>
        <v/>
      </c>
      <c r="K17" s="6">
        <f>SQRT(2*((G17/E17)-(F17/E17))^2/((F17/E17)+(G17/E17)))</f>
        <v/>
      </c>
    </row>
    <row r="18">
      <c r="A18" t="n">
        <v>8048800</v>
      </c>
      <c r="B18" t="inlineStr">
        <is>
          <t>CSAH 4 (Eden Prairie Rd) at Edenwood Dr BACKHAUL</t>
        </is>
      </c>
      <c r="C18" t="inlineStr">
        <is>
          <t>2024-05-08</t>
        </is>
      </c>
      <c r="D18" t="inlineStr">
        <is>
          <t>6:00 AM to 7:00 PM</t>
        </is>
      </c>
      <c r="E18" s="11" t="n">
        <v>13</v>
      </c>
      <c r="F18" t="n">
        <v>8538</v>
      </c>
      <c r="G18" t="n">
        <v>7345</v>
      </c>
      <c r="H18" s="5">
        <f>(G18-F18)/F18</f>
        <v/>
      </c>
      <c r="I18" s="5">
        <f>ABS(H18)</f>
        <v/>
      </c>
      <c r="J18" s="6">
        <f>SQRT(2*(G18-F18)^2/(G18+F18))</f>
        <v/>
      </c>
      <c r="K18" s="6">
        <f>SQRT(2*((G18/E18)-(F18/E18))^2/((F18/E18)+(G18/E18)))</f>
        <v/>
      </c>
    </row>
    <row r="19">
      <c r="A19" t="n">
        <v>8033300</v>
      </c>
      <c r="B19" t="inlineStr">
        <is>
          <t>CSAH 88 (New Brighton Blvd) at St Anthony Blvd</t>
        </is>
      </c>
      <c r="C19" t="inlineStr">
        <is>
          <t>2025-04-24</t>
        </is>
      </c>
      <c r="D19" t="inlineStr">
        <is>
          <t>5:00 AM to 11:00 PM</t>
        </is>
      </c>
      <c r="E19" s="11" t="n">
        <v>18</v>
      </c>
      <c r="F19" t="n">
        <v>21360</v>
      </c>
      <c r="G19" t="n">
        <v>19511</v>
      </c>
      <c r="H19" s="5">
        <f>(G19-F19)/F19</f>
        <v/>
      </c>
      <c r="I19" s="5">
        <f>ABS(H19)</f>
        <v/>
      </c>
      <c r="J19" s="6">
        <f>SQRT(2*(G19-F19)^2/(G19+F19))</f>
        <v/>
      </c>
      <c r="K19" s="6">
        <f>SQRT(2*((G19/E19)-(F19/E19))^2/((F19/E19)+(G19/E19)))</f>
        <v/>
      </c>
    </row>
    <row r="20">
      <c r="A20" t="n">
        <v>8028100</v>
      </c>
      <c r="B20" t="inlineStr">
        <is>
          <t>CSAH 28 (E Bush Lake Rd) at 84th St W / Chalet Rd</t>
        </is>
      </c>
      <c r="C20" t="inlineStr">
        <is>
          <t>2025-04-08</t>
        </is>
      </c>
      <c r="D20" t="inlineStr">
        <is>
          <t>6:00 AM to 7:00 PM</t>
        </is>
      </c>
      <c r="E20" s="11" t="n">
        <v>13</v>
      </c>
      <c r="F20" t="n">
        <v>14541</v>
      </c>
      <c r="G20" t="n">
        <v>13202</v>
      </c>
      <c r="H20" s="5">
        <f>(G20-F20)/F20</f>
        <v/>
      </c>
      <c r="I20" s="5">
        <f>ABS(H20)</f>
        <v/>
      </c>
      <c r="J20" s="6">
        <f>SQRT(2*(G20-F20)^2/(G20+F20))</f>
        <v/>
      </c>
      <c r="K20" s="6">
        <f>SQRT(2*((G20/E20)-(F20/E20))^2/((F20/E20)+(G20/E20)))</f>
        <v/>
      </c>
    </row>
    <row r="21">
      <c r="A21" t="n">
        <v>8037500</v>
      </c>
      <c r="B21" t="inlineStr">
        <is>
          <t>CSAH 61 (Plymouth Rd) at Sherwood Place / Regency Woods Apartments</t>
        </is>
      </c>
      <c r="C21" t="inlineStr">
        <is>
          <t>2025-05-01</t>
        </is>
      </c>
      <c r="D21" t="inlineStr">
        <is>
          <t>6:00 AM TO 7:00 PM</t>
        </is>
      </c>
      <c r="E21" s="11" t="n">
        <v>13</v>
      </c>
      <c r="F21" t="n">
        <v>5289</v>
      </c>
      <c r="G21" t="n">
        <v>4524</v>
      </c>
      <c r="H21" s="5">
        <f>(G21-F21)/F21</f>
        <v/>
      </c>
      <c r="I21" s="5">
        <f>ABS(H21)</f>
        <v/>
      </c>
      <c r="J21" s="6">
        <f>SQRT(2*(G21-F21)^2/(G21+F21))</f>
        <v/>
      </c>
      <c r="K21" s="6">
        <f>SQRT(2*((G21/E21)-(F21/E21))^2/((F21/E21)+(G21/E21)))</f>
        <v/>
      </c>
    </row>
    <row r="22">
      <c r="A22" t="n">
        <v>8017000</v>
      </c>
      <c r="B22" t="inlineStr">
        <is>
          <t>CSAH 34 (Normandale Blvd) at 102nd St W BACKHAUL</t>
        </is>
      </c>
      <c r="C22" t="inlineStr">
        <is>
          <t>2025-04-08</t>
        </is>
      </c>
      <c r="D22" t="inlineStr">
        <is>
          <t>6:00 AM to 7:00 PM</t>
        </is>
      </c>
      <c r="E22" s="11" t="n">
        <v>13</v>
      </c>
      <c r="F22" t="n">
        <v>10519</v>
      </c>
      <c r="G22" t="n">
        <v>9454</v>
      </c>
      <c r="H22" s="5">
        <f>(G22-F22)/F22</f>
        <v/>
      </c>
      <c r="I22" s="5">
        <f>ABS(H22)</f>
        <v/>
      </c>
      <c r="J22" s="6">
        <f>SQRT(2*(G22-F22)^2/(G22+F22))</f>
        <v/>
      </c>
      <c r="K22" s="6">
        <f>SQRT(2*((G22/E22)-(F22/E22))^2/((F22/E22)+(G22/E22)))</f>
        <v/>
      </c>
    </row>
    <row r="23">
      <c r="A23" t="n">
        <v>8024300</v>
      </c>
      <c r="B23" t="inlineStr">
        <is>
          <t>CSAH 61 (Plymouth Rd) at Ridgedale Dr</t>
        </is>
      </c>
      <c r="C23" t="inlineStr">
        <is>
          <t>2025-05-01</t>
        </is>
      </c>
      <c r="D23" t="inlineStr">
        <is>
          <t>6:00 AM TO 7:00 PM</t>
        </is>
      </c>
      <c r="E23" s="11" t="n">
        <v>13</v>
      </c>
      <c r="F23" t="n">
        <v>14453</v>
      </c>
      <c r="G23" t="n">
        <v>13221</v>
      </c>
      <c r="H23" s="5">
        <f>(G23-F23)/F23</f>
        <v/>
      </c>
      <c r="I23" s="5">
        <f>ABS(H23)</f>
        <v/>
      </c>
      <c r="J23" s="6">
        <f>SQRT(2*(G23-F23)^2/(G23+F23))</f>
        <v/>
      </c>
      <c r="K23" s="6">
        <f>SQRT(2*((G23/E23)-(F23/E23))^2/((F23/E23)+(G23/E23)))</f>
        <v/>
      </c>
    </row>
    <row r="24">
      <c r="A24" t="n">
        <v>8021900</v>
      </c>
      <c r="B24" t="inlineStr">
        <is>
          <t>CSAH 52 (Nicollet Ave) at 84th St</t>
        </is>
      </c>
      <c r="C24" t="inlineStr">
        <is>
          <t>2025-04-10</t>
        </is>
      </c>
      <c r="D24" t="inlineStr">
        <is>
          <t>6:00 AM TO 7:00 PM</t>
        </is>
      </c>
      <c r="E24" s="11" t="n">
        <v>13</v>
      </c>
      <c r="F24" t="n">
        <v>9475</v>
      </c>
      <c r="G24" t="n">
        <v>8595</v>
      </c>
      <c r="H24" s="5">
        <f>(G24-F24)/F24</f>
        <v/>
      </c>
      <c r="I24" s="5">
        <f>ABS(H24)</f>
        <v/>
      </c>
      <c r="J24" s="6">
        <f>SQRT(2*(G24-F24)^2/(G24+F24))</f>
        <v/>
      </c>
      <c r="K24" s="6">
        <f>SQRT(2*((G24/E24)-(F24/E24))^2/((F24/E24)+(G24/E24)))</f>
        <v/>
      </c>
    </row>
    <row r="25">
      <c r="A25" t="n">
        <v>9010695</v>
      </c>
      <c r="B25" t="inlineStr">
        <is>
          <t>CSAH 121 (Maple Grove Pkwy) at 99th Ave / Grove Cir</t>
        </is>
      </c>
      <c r="C25" t="inlineStr">
        <is>
          <t>2026-04-29</t>
        </is>
      </c>
      <c r="D25" t="inlineStr">
        <is>
          <t>5:00 AM to 11:00 PM</t>
        </is>
      </c>
      <c r="E25" s="11" t="n">
        <v>18</v>
      </c>
      <c r="F25" t="n">
        <v>31522</v>
      </c>
      <c r="G25" t="n">
        <v>30177</v>
      </c>
      <c r="H25" s="5">
        <f>(G25-F25)/F25</f>
        <v/>
      </c>
      <c r="I25" s="5">
        <f>ABS(H25)</f>
        <v/>
      </c>
      <c r="J25" s="6">
        <f>SQRT(2*(G25-F25)^2/(G25+F25))</f>
        <v/>
      </c>
      <c r="K25" s="6">
        <f>SQRT(2*((G25/E25)-(F25/E25))^2/((F25/E25)+(G25/E25)))</f>
        <v/>
      </c>
    </row>
    <row r="26">
      <c r="A26" t="n">
        <v>9010690</v>
      </c>
      <c r="B26" t="inlineStr">
        <is>
          <t>CSAH 121 (Maple Grove Pkwy) at Hospital Dr</t>
        </is>
      </c>
      <c r="C26" t="inlineStr">
        <is>
          <t>2026-04-29</t>
        </is>
      </c>
      <c r="D26" t="inlineStr">
        <is>
          <t>6:00 AM to 7:00 PM</t>
        </is>
      </c>
      <c r="E26" s="11" t="n">
        <v>13</v>
      </c>
      <c r="F26" t="n">
        <v>25223</v>
      </c>
      <c r="G26" t="n">
        <v>24561</v>
      </c>
      <c r="H26" s="5">
        <f>(G26-F26)/F26</f>
        <v/>
      </c>
      <c r="I26" s="5">
        <f>ABS(H26)</f>
        <v/>
      </c>
      <c r="J26" s="6">
        <f>SQRT(2*(G26-F26)^2/(G26+F26))</f>
        <v/>
      </c>
      <c r="K26" s="6">
        <f>SQRT(2*((G26/E26)-(F26/E26))^2/((F26/E26)+(G26/E26)))</f>
        <v/>
      </c>
    </row>
    <row r="27">
      <c r="A27" t="n">
        <v>8057450</v>
      </c>
      <c r="B27" t="inlineStr">
        <is>
          <t>CSAH 61 (Flying Cloud Dr) at Fountain Pl</t>
        </is>
      </c>
      <c r="C27" t="inlineStr">
        <is>
          <t>2025-11-05</t>
        </is>
      </c>
      <c r="D27" t="inlineStr">
        <is>
          <t>6:00 AM TO 7:00 PM</t>
        </is>
      </c>
      <c r="E27" s="11" t="n">
        <v>13</v>
      </c>
      <c r="F27" t="n">
        <v>23292</v>
      </c>
      <c r="G27" t="n">
        <v>22797</v>
      </c>
      <c r="H27" s="5">
        <f>(G27-F27)/F27</f>
        <v/>
      </c>
      <c r="I27" s="5">
        <f>ABS(H27)</f>
        <v/>
      </c>
      <c r="J27" s="6">
        <f>SQRT(2*(G27-F27)^2/(G27+F27))</f>
        <v/>
      </c>
      <c r="K27" s="6">
        <f>SQRT(2*((G27/E27)-(F27/E27))^2/((F27/E27)+(G27/E27)))</f>
        <v/>
      </c>
    </row>
    <row r="28">
      <c r="A28" t="n">
        <v>8022300</v>
      </c>
      <c r="B28" t="inlineStr">
        <is>
          <t>CSAH 61 (Plymouth Rd) at Cartway Dr</t>
        </is>
      </c>
      <c r="C28" t="inlineStr">
        <is>
          <t>2025-05-01</t>
        </is>
      </c>
      <c r="D28" t="inlineStr">
        <is>
          <t>6:00 AM TO 7:00 PM</t>
        </is>
      </c>
      <c r="E28" s="11" t="n">
        <v>13</v>
      </c>
      <c r="F28" t="n">
        <v>17985</v>
      </c>
      <c r="G28" t="n">
        <v>17583</v>
      </c>
      <c r="H28" s="5">
        <f>(G28-F28)/F28</f>
        <v/>
      </c>
      <c r="I28" s="5">
        <f>ABS(H28)</f>
        <v/>
      </c>
      <c r="J28" s="6">
        <f>SQRT(2*(G28-F28)^2/(G28+F28))</f>
        <v/>
      </c>
      <c r="K28" s="6">
        <f>SQRT(2*((G28/E28)-(F28/E28))^2/((F28/E28)+(G28/E28)))</f>
        <v/>
      </c>
    </row>
    <row r="29">
      <c r="A29" t="n">
        <v>8057300</v>
      </c>
      <c r="B29" t="inlineStr">
        <is>
          <t>CSAH 1 (Pioneer Trail) at CSAH 61 (Flying Cloud Dr)</t>
        </is>
      </c>
      <c r="C29" t="inlineStr">
        <is>
          <t>2025-11-05</t>
        </is>
      </c>
      <c r="D29" t="inlineStr">
        <is>
          <t>6:00 AM to 7:00 PM</t>
        </is>
      </c>
      <c r="E29" s="11" t="n">
        <v>13</v>
      </c>
      <c r="F29" t="n">
        <v>23440</v>
      </c>
      <c r="G29" t="n">
        <v>23069</v>
      </c>
      <c r="H29" s="5">
        <f>(G29-F29)/F29</f>
        <v/>
      </c>
      <c r="I29" s="5">
        <f>ABS(H29)</f>
        <v/>
      </c>
      <c r="J29" s="6">
        <f>SQRT(2*(G29-F29)^2/(G29+F29))</f>
        <v/>
      </c>
      <c r="K29" s="6">
        <f>SQRT(2*((G29/E29)-(F29/E29))^2/((F29/E29)+(G29/E29)))</f>
        <v/>
      </c>
    </row>
    <row r="30">
      <c r="A30" t="n">
        <v>8057500</v>
      </c>
      <c r="B30" t="inlineStr">
        <is>
          <t>CSAH 61 (Flying Cloud Dr) at Prairie Center Dr BACKHAUL</t>
        </is>
      </c>
      <c r="C30" t="inlineStr">
        <is>
          <t>2025-10-29</t>
        </is>
      </c>
      <c r="D30" t="inlineStr">
        <is>
          <t>5:00 AM to 11 PM</t>
        </is>
      </c>
      <c r="E30" s="11" t="n">
        <v>18</v>
      </c>
      <c r="F30" t="n">
        <v>36033</v>
      </c>
      <c r="G30" t="n">
        <v>35603</v>
      </c>
      <c r="H30" s="5">
        <f>(G30-F30)/F30</f>
        <v/>
      </c>
      <c r="I30" s="5">
        <f>ABS(H30)</f>
        <v/>
      </c>
      <c r="J30" s="6">
        <f>SQRT(2*(G30-F30)^2/(G30+F30))</f>
        <v/>
      </c>
      <c r="K30" s="6">
        <f>SQRT(2*((G30/E30)-(F30/E30))^2/((F30/E30)+(G30/E30)))</f>
        <v/>
      </c>
    </row>
    <row r="31">
      <c r="A31" t="n">
        <v>8044600</v>
      </c>
      <c r="B31" t="inlineStr">
        <is>
          <t>CSAH 1 (Old Shakopee Rd) at Nesbitt Ave</t>
        </is>
      </c>
      <c r="C31" t="inlineStr">
        <is>
          <t>2025-04-17</t>
        </is>
      </c>
      <c r="D31" t="inlineStr">
        <is>
          <t>5:00 AM to 11:00 PM</t>
        </is>
      </c>
      <c r="E31" s="11" t="n">
        <v>18</v>
      </c>
      <c r="F31" t="n">
        <v>2013</v>
      </c>
      <c r="G31" t="n">
        <v>1940</v>
      </c>
      <c r="H31" s="5">
        <f>(G31-F31)/F31</f>
        <v/>
      </c>
      <c r="I31" s="5">
        <f>ABS(H31)</f>
        <v/>
      </c>
      <c r="J31" s="6">
        <f>SQRT(2*(G31-F31)^2/(G31+F31))</f>
        <v/>
      </c>
      <c r="K31" s="6">
        <f>SQRT(2*((G31/E31)-(F31/E31))^2/((F31/E31)+(G31/E31)))</f>
        <v/>
      </c>
    </row>
    <row r="32">
      <c r="A32" t="n">
        <v>8057650</v>
      </c>
      <c r="B32" t="inlineStr">
        <is>
          <t>CSAH 61 (Flying Cloud Dr) at Leona Rd / Eden Rd</t>
        </is>
      </c>
      <c r="C32" t="inlineStr">
        <is>
          <t>2025-11-05</t>
        </is>
      </c>
      <c r="D32" t="inlineStr">
        <is>
          <t>6:00 AM TO 7:00 PM</t>
        </is>
      </c>
      <c r="E32" s="11" t="n">
        <v>13</v>
      </c>
      <c r="F32" t="n">
        <v>26793</v>
      </c>
      <c r="G32" t="n">
        <v>26541</v>
      </c>
      <c r="H32" s="5">
        <f>(G32-F32)/F32</f>
        <v/>
      </c>
      <c r="I32" s="5">
        <f>ABS(H32)</f>
        <v/>
      </c>
      <c r="J32" s="6">
        <f>SQRT(2*(G32-F32)^2/(G32+F32))</f>
        <v/>
      </c>
      <c r="K32" s="6">
        <f>SQRT(2*((G32/E32)-(F32/E32))^2/((F32/E32)+(G32/E32)))</f>
        <v/>
      </c>
    </row>
    <row r="33">
      <c r="A33" t="n">
        <v>8032700</v>
      </c>
      <c r="B33" t="inlineStr">
        <is>
          <t>CSAH 153 (Kenzie Ter) at Kenzington Apts</t>
        </is>
      </c>
      <c r="C33" t="inlineStr">
        <is>
          <t>2025-04-17</t>
        </is>
      </c>
      <c r="D33" t="inlineStr">
        <is>
          <t>6:00 AM TO 7:00 PM</t>
        </is>
      </c>
      <c r="E33" s="11" t="n">
        <v>13</v>
      </c>
      <c r="F33" t="n">
        <v>4207</v>
      </c>
      <c r="G33" t="n">
        <v>4274</v>
      </c>
      <c r="H33" s="5">
        <f>(G33-F33)/F33</f>
        <v/>
      </c>
      <c r="I33" s="5">
        <f>ABS(H33)</f>
        <v/>
      </c>
      <c r="J33" s="6">
        <f>SQRT(2*(G33-F33)^2/(G33+F33))</f>
        <v/>
      </c>
      <c r="K33" s="6">
        <f>SQRT(2*((G33/E33)-(F33/E33))^2/((F33/E33)+(G33/E33)))</f>
        <v/>
      </c>
    </row>
    <row r="34">
      <c r="A34" t="n">
        <v>8058015</v>
      </c>
      <c r="B34" t="inlineStr">
        <is>
          <t>CSAH 73 (Hopkins Crossroad) at S Frontage Rd</t>
        </is>
      </c>
      <c r="C34" t="inlineStr">
        <is>
          <t>2025-05-01</t>
        </is>
      </c>
      <c r="D34" t="inlineStr">
        <is>
          <t>6:00 AM TO 7:00 PM</t>
        </is>
      </c>
      <c r="E34" s="11" t="n">
        <v>13</v>
      </c>
      <c r="F34" t="n">
        <v>15326</v>
      </c>
      <c r="G34" t="n">
        <v>15203</v>
      </c>
      <c r="H34" s="5">
        <f>(G34-F34)/F34</f>
        <v/>
      </c>
      <c r="I34" s="5">
        <f>ABS(H34)</f>
        <v/>
      </c>
      <c r="J34" s="6">
        <f>SQRT(2*(G34-F34)^2/(G34+F34))</f>
        <v/>
      </c>
      <c r="K34" s="6">
        <f>SQRT(2*((G34/E34)-(F34/E34))^2/((F34/E34)+(G34/E34)))</f>
        <v/>
      </c>
    </row>
    <row r="35">
      <c r="A35" t="n">
        <v>8027300</v>
      </c>
      <c r="B35" t="inlineStr">
        <is>
          <t>CSAH 61 (Plymouth Rd) at I-394 N Frontage Rd</t>
        </is>
      </c>
      <c r="C35" t="inlineStr">
        <is>
          <t>2025-05-01</t>
        </is>
      </c>
      <c r="D35" t="inlineStr">
        <is>
          <t>6:00 AM TO 7:00 PM</t>
        </is>
      </c>
      <c r="E35" s="11" t="n">
        <v>13</v>
      </c>
      <c r="F35" t="n">
        <v>17803</v>
      </c>
      <c r="G35" t="n">
        <v>17694</v>
      </c>
      <c r="H35" s="5">
        <f>(G35-F35)/F35</f>
        <v/>
      </c>
      <c r="I35" s="5">
        <f>ABS(H35)</f>
        <v/>
      </c>
      <c r="J35" s="6">
        <f>SQRT(2*(G35-F35)^2/(G35+F35))</f>
        <v/>
      </c>
      <c r="K35" s="6">
        <f>SQRT(2*((G35/E35)-(F35/E35))^2/((F35/E35)+(G35/E35)))</f>
        <v/>
      </c>
    </row>
    <row r="36">
      <c r="A36" t="n">
        <v>8054800</v>
      </c>
      <c r="B36" t="inlineStr">
        <is>
          <t>CSAH 30 (93rd Ave) at Upland Ln N</t>
        </is>
      </c>
      <c r="C36" t="inlineStr">
        <is>
          <t>2026-04-29</t>
        </is>
      </c>
      <c r="D36" t="inlineStr">
        <is>
          <t>6:00 AM to 7:00 PM</t>
        </is>
      </c>
      <c r="E36" s="11" t="n">
        <v>13</v>
      </c>
      <c r="F36" t="n">
        <v>14826</v>
      </c>
      <c r="G36" t="n">
        <v>14759</v>
      </c>
      <c r="H36" s="5">
        <f>(G36-F36)/F36</f>
        <v/>
      </c>
      <c r="I36" s="5">
        <f>ABS(H36)</f>
        <v/>
      </c>
      <c r="J36" s="6">
        <f>SQRT(2*(G36-F36)^2/(G36+F36))</f>
        <v/>
      </c>
      <c r="K36" s="6">
        <f>SQRT(2*((G36/E36)-(F36/E36))^2/((F36/E36)+(G36/E36)))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7" t="inlineStr">
        <is>
          <t>Consultant vs. Vision Camera — Live KPIs</t>
        </is>
      </c>
    </row>
    <row r="2" ht="42" customHeight="1">
      <c r="A2" s="8" t="inlineStr">
        <is>
          <t>A standalone third comparison, separate from the Manual-vs-Vision Baseline/1st Calibration numbers, because Consultant counts are cumulative totals over long, variable windows (13-18 hours) rather than fixed 15-minute windows. Every value below is a formula over the TMC_Consultant table (Consultant Data tab).</t>
        </is>
      </c>
    </row>
    <row r="3"/>
    <row r="4"/>
    <row r="5">
      <c r="A5" s="4" t="inlineStr">
        <is>
          <t>Metric</t>
        </is>
      </c>
      <c r="B5" s="4" t="inlineStr">
        <is>
          <t>Consultant</t>
        </is>
      </c>
    </row>
    <row r="6">
      <c r="A6" t="inlineStr">
        <is>
          <t>Intersections with data</t>
        </is>
      </c>
      <c r="B6" s="9">
        <f>COUNTA(TMC_Consultant[ID])</f>
        <v/>
      </c>
    </row>
    <row r="7">
      <c r="A7" t="inlineStr">
        <is>
          <t>Mean % Difference</t>
        </is>
      </c>
      <c r="B7" s="5">
        <f>AVERAGE(TMC_Consultant[Pct_Diff])</f>
        <v/>
      </c>
    </row>
    <row r="8">
      <c r="A8" t="inlineStr">
        <is>
          <t>Mean |% Difference|</t>
        </is>
      </c>
      <c r="B8" s="5">
        <f>AVERAGE(TMC_Consultant[Abs_Pct_Diff])</f>
        <v/>
      </c>
    </row>
    <row r="9">
      <c r="A9" t="inlineStr">
        <is>
          <t>Mean GEH (as-collected)</t>
        </is>
      </c>
      <c r="B9" s="6">
        <f>AVERAGE(TMC_Consultant[GEH])</f>
        <v/>
      </c>
    </row>
    <row r="10">
      <c r="A10" t="inlineStr">
        <is>
          <t>% GEH&lt;5 (as-collected)</t>
        </is>
      </c>
      <c r="B10" s="5">
        <f>COUNTIF(TMC_Consultant[GEH],"&lt;5")/COUNTA(TMC_Consultant[ID])</f>
        <v/>
      </c>
    </row>
    <row r="11">
      <c r="A11" t="inlineStr">
        <is>
          <t>Mean GEH (hourly rate)</t>
        </is>
      </c>
      <c r="B11" s="6">
        <f>AVERAGE(TMC_Consultant[GEH_Hourly_Rate])</f>
        <v/>
      </c>
    </row>
    <row r="12">
      <c r="A12" t="inlineStr">
        <is>
          <t>% GEH&lt;5 (hourly rate)</t>
        </is>
      </c>
      <c r="B12" s="5">
        <f>COUNTIF(TMC_Consultant[GEH_Hourly_Rate],"&lt;5")/COUNTA(TMC_Consultant[ID])</f>
        <v/>
      </c>
    </row>
    <row r="13">
      <c r="A13" t="inlineStr">
        <is>
          <t>Mean count duration (hrs)</t>
        </is>
      </c>
      <c r="B13" s="11">
        <f>AVERAGE(TMC_Consultant[Duration_Hours])</f>
        <v/>
      </c>
    </row>
    <row r="15" ht="70" customHeight="1">
      <c r="A15" s="8" t="inlineStr">
        <is>
          <t>Why GEH runs so high here: GEH scales with sqrt(volume) for a fixed relative error. A 13-18 hour count accumulates thousands of vehicles, so the same (or even better) % accuracy as the 15-minute Manual counts produces a much larger GEH -- a mechanical effect of count volume, not evidence the Vision Camera is less accurate here. The conventional GEH&lt;5 threshold was calibrated for hourly volumes, so GEH_Hourly_Rate (each total divided by its own count duration before computing GEH) is the fairer of the two bases above; even so, % Difference is the most directly meaningful comparison metric for this dataset, since it doesn't depend on duration.</t>
        </is>
      </c>
    </row>
  </sheetData>
  <mergeCells count="3">
    <mergeCell ref="A2:B2"/>
    <mergeCell ref="A1:B1"/>
    <mergeCell ref="A15:B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2026-07-20T13:58:49Z</dcterms:created>
  <dcterms:modified xsi:type="dcterms:W3CDTF">2026-07-20T13:58:49Z</dcterms:modified>
</cp:coreProperties>
</file>