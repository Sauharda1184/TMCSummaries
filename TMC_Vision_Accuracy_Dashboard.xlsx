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Overview" sheetId="1" state="visible" r:id="rId3"/>
    <sheet name="Data" sheetId="2" state="visible" r:id="rId4"/>
    <sheet name="Dashboard" sheetId="3" state="visible" r:id="rId5"/>
    <sheet name="Paired Before-After" sheetId="4" state="visible" r:id="rId6"/>
    <sheet name="All Intersections (filterable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<sst xmlns="http://schemas.openxmlformats.org/spreadsheetml/2006/main" count="439" uniqueCount="209">
  <si>
    <t xml:space="preserve">Vision Camera TMC Accuracy — Live Dashboard</t>
  </si>
  <si>
    <t xml:space="preserve">What's different about this version</t>
  </si>
  <si>
    <t xml:space="preserve">This workbook keeps only the raw Manual and Vision counts as data. Every other column — % Difference, GEH, the hourly-equivalent GEH — is a live formula computed from those two counts, and every KPI on the Dashboard tab (means, pass rates) is a live formula over the whole table. Edit a Manual or Vision count on the 'Data' tab and the % Diff/GEH for that row, the KPI tiles, and the charts bound to that row all recalculate automatically — nothing here is a pasted-in number or a static picture of a chart.</t>
  </si>
  <si>
    <t xml:space="preserve">Project goal</t>
  </si>
  <si>
    <t xml:space="preserve">Hennepin County's Transportation Operations Department uses a Vision Camera system that automatically generates turning-movement counts (TMC) at signalized intersections — a task traditionally done by a person standing at the intersection with a tally sheet. This project validates those counts by manually counting vehicles at a sample of intersections and comparing the manual counts against what the Vision Camera recorded for the same 15-minute window.</t>
  </si>
  <si>
    <t xml:space="preserve">Metrics</t>
  </si>
  <si>
    <t xml:space="preserve">% Difference = (Vision - Manual) / Manual. GEH = sqrt(2*(Vision-Manual)^2 / (Vision+Manual)) — a chi-squared-derived statistic used industry-wide to flag meaningful count discrepancies, weighted by count magnitude. Industry convention treats GEH &lt; 5 (on hourly volumes) as a good match. Because these are 15-minute counts, GEH_Hourly_Equiv (= GEH_15min * 2, matching the sqrt(4) scaling from a 4x volume increase) is also computed, since the conventional threshold was calibrated for hourly data.</t>
  </si>
  <si>
    <t xml:space="preserve">Scope</t>
  </si>
  <si>
    <t xml:space="preserve">48 intersections have Baseline data and 47 have 1st Calibration data (of 236 tracked). All rows live in a single Excel Table named TMC_Data on the 'Data' tab, with a 'Round' column distinguishing Baseline from 1st Calibration — this is what lets a single slicer or table filter switch every chart between the two.</t>
  </si>
  <si>
    <t xml:space="preserve">To add a live filter button (slicer)</t>
  </si>
  <si>
    <t xml:space="preserve">Click any cell inside the TMC_Data table on the 'Data' tab, then Insert &gt; Slicer &gt; check 'Round'. That gives you a clickable Baseline / 1st Calibration button that filters the table and every chart bound to it — this can't be pre-built from outside Excel without risking a corrupted file, but it's a 2-click action once the table is in front of you.</t>
  </si>
  <si>
    <t xml:space="preserve">Round</t>
  </si>
  <si>
    <t xml:space="preserve">ID</t>
  </si>
  <si>
    <t xml:space="preserve">Intersection</t>
  </si>
  <si>
    <t xml:space="preserve">Date</t>
  </si>
  <si>
    <t xml:space="preserve">Time of Day</t>
  </si>
  <si>
    <t xml:space="preserve">Manual_Total</t>
  </si>
  <si>
    <t xml:space="preserve">Vision_Total</t>
  </si>
  <si>
    <t xml:space="preserve">Pct_Diff</t>
  </si>
  <si>
    <t xml:space="preserve">Abs_Pct_Diff</t>
  </si>
  <si>
    <t xml:space="preserve">GEH_15min</t>
  </si>
  <si>
    <t xml:space="preserve">GEH_Hourly_Equiv</t>
  </si>
  <si>
    <t xml:space="preserve">Baseline</t>
  </si>
  <si>
    <t xml:space="preserve">CSAH 109 (85th Ave N) at Edinbrook Pkwy N</t>
  </si>
  <si>
    <t xml:space="preserve">2025-06-10</t>
  </si>
  <si>
    <t xml:space="preserve">07:45:00</t>
  </si>
  <si>
    <t xml:space="preserve">CSAH 136 (Silver Lake Rd) at 33rd Ave NE</t>
  </si>
  <si>
    <t xml:space="preserve">2025-03-31</t>
  </si>
  <si>
    <t xml:space="preserve">CSAH 3 (Excelsior Blvd) at Brookside Ave / Alabama Ave S BACKHAUL</t>
  </si>
  <si>
    <t xml:space="preserve">2025-03-11</t>
  </si>
  <si>
    <t xml:space="preserve">16:15:00</t>
  </si>
  <si>
    <t xml:space="preserve">CSAH 121 (Maple Grove Pkwy) at Hospital Dr</t>
  </si>
  <si>
    <t xml:space="preserve">2025-06-12</t>
  </si>
  <si>
    <t xml:space="preserve">08:30:00</t>
  </si>
  <si>
    <t xml:space="preserve">CSAH 121 (Maple Grove Pkwy) at 99th Ave / Grove Cir</t>
  </si>
  <si>
    <t xml:space="preserve">15:15:00</t>
  </si>
  <si>
    <t xml:space="preserve">CSAH 61 (Flying Cloud Dr) at Viking Drive</t>
  </si>
  <si>
    <t xml:space="preserve">2026-02-24</t>
  </si>
  <si>
    <t xml:space="preserve">15:30:00</t>
  </si>
  <si>
    <t xml:space="preserve">CSAH 1 (Pioneer Trail) at Franlo Rd </t>
  </si>
  <si>
    <t xml:space="preserve">2025-04-30</t>
  </si>
  <si>
    <t xml:space="preserve">CSAH 152 (Brooklyn Blvd) at 65th Ave N</t>
  </si>
  <si>
    <t xml:space="preserve">3035-03-03</t>
  </si>
  <si>
    <t xml:space="preserve">09:15:00</t>
  </si>
  <si>
    <t xml:space="preserve">CSAH 19 (Manitou Rd) at Smithtown Rd</t>
  </si>
  <si>
    <t xml:space="preserve">2025-06-19</t>
  </si>
  <si>
    <t xml:space="preserve">15:45:00</t>
  </si>
  <si>
    <t xml:space="preserve">CSAH 81 (Industrial Blvd) at John Deere Ln</t>
  </si>
  <si>
    <t xml:space="preserve">2026-02-17</t>
  </si>
  <si>
    <t xml:space="preserve">16:00:00</t>
  </si>
  <si>
    <t xml:space="preserve">CSAH 130 (West Broadway) at 76th Ave N</t>
  </si>
  <si>
    <t xml:space="preserve">2025-06-13</t>
  </si>
  <si>
    <t xml:space="preserve">15:00:00</t>
  </si>
  <si>
    <t xml:space="preserve">CSAH 28 (E Bush Lake Rd) at American Blvd / Green Valley Dr</t>
  </si>
  <si>
    <t xml:space="preserve">2025-06-24</t>
  </si>
  <si>
    <t xml:space="preserve">08:00:00</t>
  </si>
  <si>
    <t xml:space="preserve">CSAH 73 (Hopkins Crossroad) at Wayzata Blvd / North Frontage Road</t>
  </si>
  <si>
    <t xml:space="preserve">2026-03-09</t>
  </si>
  <si>
    <t xml:space="preserve">CSAH 103 (West Broadway) at Dragon Star Supermarket/Rainbow Foods Driveway</t>
  </si>
  <si>
    <t xml:space="preserve">2025-06-09</t>
  </si>
  <si>
    <t xml:space="preserve">CSAH 61 (Zachary Ln N) at 89th Ave N</t>
  </si>
  <si>
    <t xml:space="preserve">2026-02-26</t>
  </si>
  <si>
    <t xml:space="preserve">CSAH 17 (France Ave) at I-494 N Ramp / 78th St</t>
  </si>
  <si>
    <t xml:space="preserve">2026-04-03</t>
  </si>
  <si>
    <t xml:space="preserve">CSAH 81 (Main St) at John Milless Dr / Industrial Blvd</t>
  </si>
  <si>
    <t xml:space="preserve">2026-03-06</t>
  </si>
  <si>
    <t xml:space="preserve">CSAH 61 (Flying Cloud Dr) at Charlson Rd</t>
  </si>
  <si>
    <t xml:space="preserve">CSAH 28 (E Bush Lake Rd) at 78th St W </t>
  </si>
  <si>
    <t xml:space="preserve">2025-04-04</t>
  </si>
  <si>
    <t xml:space="preserve">19:45:00</t>
  </si>
  <si>
    <t xml:space="preserve">CSAH 15 (Lynwood Blvd) at CSAH 110 (Commerce Blvd)</t>
  </si>
  <si>
    <t xml:space="preserve">2025-04-18</t>
  </si>
  <si>
    <t xml:space="preserve">CSAH 101 (County Rd 101) at Hutchins Dr</t>
  </si>
  <si>
    <t xml:space="preserve">12:30:00</t>
  </si>
  <si>
    <t xml:space="preserve">CSAH 61 (Northwest Blvd) at W Medicine Lake Dr</t>
  </si>
  <si>
    <t xml:space="preserve">CSAH 130 (Elm Creek Blvd) at Fountains Dr-BACKHAUL</t>
  </si>
  <si>
    <t xml:space="preserve">CSAH 103 (West Broadway) at Oak Grove Pkwy</t>
  </si>
  <si>
    <t xml:space="preserve">CSAH 1 (Pioneer Trail) at Staring Lake Parkway</t>
  </si>
  <si>
    <t xml:space="preserve">2025-06-04</t>
  </si>
  <si>
    <t xml:space="preserve">CR 101 (Brockton Ln) at Dayton Parkway</t>
  </si>
  <si>
    <t xml:space="preserve">2025-03-04</t>
  </si>
  <si>
    <t xml:space="preserve">08:45:00</t>
  </si>
  <si>
    <t xml:space="preserve">CSAH 73 (Hopkins Crossroad) at S Frontage Rd</t>
  </si>
  <si>
    <t xml:space="preserve">2026-03-03</t>
  </si>
  <si>
    <t xml:space="preserve">CSAH 81 (Bottineau) at 35th Ave/HyVee</t>
  </si>
  <si>
    <t xml:space="preserve">CSAH 130 (West Broadway) at 73rd Ave N</t>
  </si>
  <si>
    <t xml:space="preserve">2025-04-02</t>
  </si>
  <si>
    <t xml:space="preserve">CSAH 1 (Pioneer Trail) at Dell Rd</t>
  </si>
  <si>
    <t xml:space="preserve">2025-04-29</t>
  </si>
  <si>
    <t xml:space="preserve">08:15:00</t>
  </si>
  <si>
    <t xml:space="preserve">CSAH 153 (Kenzie Ter) at Kenzington Apts</t>
  </si>
  <si>
    <t xml:space="preserve">2025-04-07</t>
  </si>
  <si>
    <t xml:space="preserve">12:45:00</t>
  </si>
  <si>
    <t xml:space="preserve">CSAH 27 (Stinson Blvd NE) at 37th Ave NE</t>
  </si>
  <si>
    <t xml:space="preserve">2025-06-23</t>
  </si>
  <si>
    <t xml:space="preserve">CSAH 81 (Industrial Blvd) at John Milless Dr / Memorial Dr</t>
  </si>
  <si>
    <t xml:space="preserve">2026-03-04</t>
  </si>
  <si>
    <t xml:space="preserve">CSAH 152 (Brooklyn Blvd) at Jolly Lane</t>
  </si>
  <si>
    <t xml:space="preserve">2025-03-07</t>
  </si>
  <si>
    <t xml:space="preserve">CSAH 101 (Central Ave) at Wayzata Blvd - Master Controller</t>
  </si>
  <si>
    <t xml:space="preserve">2025-06-05</t>
  </si>
  <si>
    <t xml:space="preserve">CSAH 1 (Pioneer Trail) at Bennett Place</t>
  </si>
  <si>
    <t xml:space="preserve">2025-04-25</t>
  </si>
  <si>
    <t xml:space="preserve">CSAH 144 (141st Ave N) at Northdale Blvd</t>
  </si>
  <si>
    <t xml:space="preserve">2025-06-18</t>
  </si>
  <si>
    <t xml:space="preserve">CSAH 15 (Shoreline Dr) at CSAH 51 (Sunset Dr)</t>
  </si>
  <si>
    <t xml:space="preserve">CSAH 8 (West Broadway) at 57th Ave N</t>
  </si>
  <si>
    <t xml:space="preserve">07:30:00</t>
  </si>
  <si>
    <t xml:space="preserve">CSAH 25 (Hwy 7) at Lynn Ave</t>
  </si>
  <si>
    <t xml:space="preserve">CSAH 24 (County Rd 24) at Medina Rd</t>
  </si>
  <si>
    <t xml:space="preserve">2025-06-20</t>
  </si>
  <si>
    <t xml:space="preserve">CSAH 1 (Pioneer Trail) at Homeward Hills Rd</t>
  </si>
  <si>
    <t xml:space="preserve">2025-05-01</t>
  </si>
  <si>
    <t xml:space="preserve">CSAH 130 (77th Ave N) at Boone Ave N</t>
  </si>
  <si>
    <t xml:space="preserve">CSAH 144 (141st Ave N) at James Rd/Rogers Dr</t>
  </si>
  <si>
    <t xml:space="preserve">2025-06-16</t>
  </si>
  <si>
    <t xml:space="preserve">CSAH 110 (Commerce Blvd) at Sunnyfield Rd E</t>
  </si>
  <si>
    <t xml:space="preserve">2025-06-11</t>
  </si>
  <si>
    <t xml:space="preserve">12:15:00</t>
  </si>
  <si>
    <t xml:space="preserve">CSAH 1 (Pioneer Trail) at Mitchell Rd</t>
  </si>
  <si>
    <t xml:space="preserve">CSAH 144 (141st Ave N) at Rogers High School W Entr</t>
  </si>
  <si>
    <t xml:space="preserve">CSAH 73 (Hopkins Crossroad) at Minnetonka Mills Rd / 5th St N</t>
  </si>
  <si>
    <t xml:space="preserve">2026-02-27</t>
  </si>
  <si>
    <t xml:space="preserve">1st Calibration</t>
  </si>
  <si>
    <t xml:space="preserve">CSAH 10 (Bass Lake Rd) at Sherburne Ave</t>
  </si>
  <si>
    <t xml:space="preserve">2026-01-12</t>
  </si>
  <si>
    <t xml:space="preserve">CSAH 10 (Bass Lake Rd) at Regent Ave</t>
  </si>
  <si>
    <t xml:space="preserve">2025-12-30</t>
  </si>
  <si>
    <t xml:space="preserve">CSAH 1 (Old Shakopee Rd) at Xerxes Ave S</t>
  </si>
  <si>
    <t xml:space="preserve">2025-07-07</t>
  </si>
  <si>
    <t xml:space="preserve">CSAH 1 (Pioneer Trail) at CSAH 61 (Flying Cloud Dr)</t>
  </si>
  <si>
    <t xml:space="preserve">2025-12-26</t>
  </si>
  <si>
    <t xml:space="preserve">CSAH 1 (Old Shakopee Rd) at CSAH 34 (Normandale Blvd)</t>
  </si>
  <si>
    <t xml:space="preserve">2025-07-03</t>
  </si>
  <si>
    <t xml:space="preserve">CSAH 152 (Brooklyn Blvd) at 73rd Ave N / Regent Ave</t>
  </si>
  <si>
    <t xml:space="preserve">2026-06-16</t>
  </si>
  <si>
    <t xml:space="preserve">2026-02-20</t>
  </si>
  <si>
    <t xml:space="preserve">8:00AM</t>
  </si>
  <si>
    <t xml:space="preserve">CSAH 10 (Bass Lake Rd) at Nathan Ln</t>
  </si>
  <si>
    <t xml:space="preserve">CSAH 5 (Minnetonka Blvd) at CSAH 16 (McGinty Rd W)</t>
  </si>
  <si>
    <t xml:space="preserve">2026-04-28</t>
  </si>
  <si>
    <t xml:space="preserve">2026-03-30</t>
  </si>
  <si>
    <t xml:space="preserve">CSAH 17 (France Ave) at 65th St W</t>
  </si>
  <si>
    <t xml:space="preserve">2026-02-23</t>
  </si>
  <si>
    <t xml:space="preserve">2026-03-13</t>
  </si>
  <si>
    <t xml:space="preserve">CSAH 1 (Old Shakopee Rd) at CSAH 17 (France Ave)</t>
  </si>
  <si>
    <t xml:space="preserve">2025-07-08</t>
  </si>
  <si>
    <t xml:space="preserve">CSAH 10 (Bass Lake Rd) at Zachary Ln BACKHAUL</t>
  </si>
  <si>
    <t xml:space="preserve">2026-01-08</t>
  </si>
  <si>
    <t xml:space="preserve">CSAH 5 (Minnetonka Blvd) at CSAH 61 W Jct (Plymouth Rd)</t>
  </si>
  <si>
    <t xml:space="preserve">2026-04-27</t>
  </si>
  <si>
    <t xml:space="preserve">CSAH 1 (Pioneer Trail) at CSAH 4  (Eden Prairie Rd)</t>
  </si>
  <si>
    <t xml:space="preserve">2025-12-24</t>
  </si>
  <si>
    <t xml:space="preserve">2025-12-29</t>
  </si>
  <si>
    <t xml:space="preserve">CSAH 10 (Bass Lake Rd) at Vicksburg Ln</t>
  </si>
  <si>
    <t xml:space="preserve">2026-01-14</t>
  </si>
  <si>
    <t xml:space="preserve">11:45:00</t>
  </si>
  <si>
    <t xml:space="preserve">2025-12-31</t>
  </si>
  <si>
    <t xml:space="preserve">CSAH 88 (New Brighton Blvd) at CSAH 94 (29th Ave NE)</t>
  </si>
  <si>
    <t xml:space="preserve">2026-04-20</t>
  </si>
  <si>
    <t xml:space="preserve">CSAH 9 (Rockford Rd) at Larch Ln BACKHAUL</t>
  </si>
  <si>
    <t xml:space="preserve">2026-04-17</t>
  </si>
  <si>
    <t xml:space="preserve">2026-02-19</t>
  </si>
  <si>
    <t xml:space="preserve">CSAH 152 (Brooklyn Blvd) at 55th Ave N</t>
  </si>
  <si>
    <t xml:space="preserve">2026-05-21</t>
  </si>
  <si>
    <t xml:space="preserve">CSAH 101 (Central Ave) at 14th Ave N - Master Controller</t>
  </si>
  <si>
    <t xml:space="preserve">nan</t>
  </si>
  <si>
    <t xml:space="preserve">CSAH 10 (County Road 10) at CSAH 116 (Fletcher Ln)</t>
  </si>
  <si>
    <t xml:space="preserve">2026-01-09</t>
  </si>
  <si>
    <t xml:space="preserve">CSAH 152 (Brooklyn Blvd) at 63rd Ave N</t>
  </si>
  <si>
    <t xml:space="preserve">2026-05-22</t>
  </si>
  <si>
    <t xml:space="preserve">CSAH 152 (Brooklyn Blvd) at Cub Foods Driveway</t>
  </si>
  <si>
    <t xml:space="preserve">2026-03-18</t>
  </si>
  <si>
    <t xml:space="preserve">2026-03-12</t>
  </si>
  <si>
    <t xml:space="preserve">CSAH 10 (Bass Lake Rd) at CSAH 152 (Brooklyn Blvd) - Master Controller</t>
  </si>
  <si>
    <t xml:space="preserve">2026-01-13</t>
  </si>
  <si>
    <t xml:space="preserve">CSAH 152 (Brooklyn Blvd) at Unity Ave N</t>
  </si>
  <si>
    <t xml:space="preserve">2026-06-17</t>
  </si>
  <si>
    <t xml:space="preserve">CSAH 1 (Old Shakopee Rd) at Nesbitt Ave</t>
  </si>
  <si>
    <t xml:space="preserve">CSAH 10 (Bass Lake Rd) at Sycamore Ln / Prudential Bldg - Master Controller</t>
  </si>
  <si>
    <t xml:space="preserve">2026-01-06</t>
  </si>
  <si>
    <t xml:space="preserve">CSAH 61 (Flying Cloud Dr) at Singletree Ln</t>
  </si>
  <si>
    <t xml:space="preserve">2026-04-14</t>
  </si>
  <si>
    <t xml:space="preserve">CSAH 152 (Brooklyn Blvd) at Noble Ave / 71st Ave</t>
  </si>
  <si>
    <t xml:space="preserve">CSAH 61 (Flying Cloud Dr) at Regional Center Rd</t>
  </si>
  <si>
    <t xml:space="preserve">CSAH 88 (New Brighton Blvd) at St Anthony Blvd</t>
  </si>
  <si>
    <t xml:space="preserve">2026-05-04</t>
  </si>
  <si>
    <t xml:space="preserve">CSAH 152 (Brooklyn Blvd / Osseo Rd) at 49th Ave N BACKHAUL</t>
  </si>
  <si>
    <t xml:space="preserve">07:15:00</t>
  </si>
  <si>
    <t xml:space="preserve">CSAH 30 (93rd Ave) at CSAH 121 (Maple Grove Pkwy)</t>
  </si>
  <si>
    <t xml:space="preserve">2026-03-24</t>
  </si>
  <si>
    <t xml:space="preserve">TMC Vision Camera Accuracy — Live KPIs</t>
  </si>
  <si>
    <t xml:space="preserve">Every value below is a formula over the TMC_Data table (Data tab) — edit a row there and these update automatically.</t>
  </si>
  <si>
    <t xml:space="preserve">Metric</t>
  </si>
  <si>
    <t xml:space="preserve">Intersections with data</t>
  </si>
  <si>
    <t xml:space="preserve">Mean % Difference</t>
  </si>
  <si>
    <t xml:space="preserve">Mean |% Difference|</t>
  </si>
  <si>
    <t xml:space="preserve">Mean GEH (as-collected)</t>
  </si>
  <si>
    <t xml:space="preserve">Mean GEH (hourly-equivalent)</t>
  </si>
  <si>
    <t xml:space="preserve">% GEH&lt;5 (as-collected)</t>
  </si>
  <si>
    <t xml:space="preserve">% GEH&lt;5 (hourly-equivalent)</t>
  </si>
  <si>
    <t xml:space="preserve">Note: counts are 15-minute samples, not hourly volumes, so the conventional GEH&lt;5 threshold (calibrated for hourly counts) is shown on both bases above rather than applied to only one — see the Overview tab.</t>
  </si>
  <si>
    <t xml:space="preserve">Progress at repeated intersections — live lookups from TMC_Data</t>
  </si>
  <si>
    <t xml:space="preserve">16 intersections appear in both rounds. Each cell below is a SUMPRODUCT lookup into TMC_Data by ID and Round, so these also update if the underlying counts change.</t>
  </si>
  <si>
    <t xml:space="preserve">Baseline GEH</t>
  </si>
  <si>
    <t xml:space="preserve">Calib. GEH</t>
  </si>
  <si>
    <t xml:space="preserve">Baseline % Diff</t>
  </si>
  <si>
    <t xml:space="preserve">Calib. % Diff</t>
  </si>
  <si>
    <t xml:space="preserve">Bound to the full TMC_Data table — add a slicer on 'Round' (Data tab: click table, Insert &gt; Slicer) to filter this live.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</si>
</sst>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0.00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Baseline: GEH by Intersection (sorted)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"GEH"</c:f>
              <c:strCache>
                <c:ptCount val="1"/>
                <c:pt idx="0">
                  <c:v>GEH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Data!$C$2:$C$49</c:f>
              <c:strCache>
                <c:ptCount val="48"/>
                <c:pt idx="0">
                  <c:v>CSAH 109 (85th Ave N) at Edinbrook Pkwy N</c:v>
                </c:pt>
                <c:pt idx="1">
                  <c:v>CSAH 136 (Silver Lake Rd) at 33rd Ave NE</c:v>
                </c:pt>
                <c:pt idx="2">
                  <c:v>CSAH 3 (Excelsior Blvd) at Brookside Ave / Alabama Ave S BACKHAUL</c:v>
                </c:pt>
                <c:pt idx="3">
                  <c:v>CSAH 121 (Maple Grove Pkwy) at Hospital Dr</c:v>
                </c:pt>
                <c:pt idx="4">
                  <c:v>CSAH 121 (Maple Grove Pkwy) at 99th Ave / Grove Cir</c:v>
                </c:pt>
                <c:pt idx="5">
                  <c:v>CSAH 61 (Flying Cloud Dr) at Viking Drive</c:v>
                </c:pt>
                <c:pt idx="6">
                  <c:v>CSAH 1 (Pioneer Trail) at Franlo Rd </c:v>
                </c:pt>
                <c:pt idx="7">
                  <c:v>CSAH 152 (Brooklyn Blvd) at 65th Ave N</c:v>
                </c:pt>
                <c:pt idx="8">
                  <c:v>CSAH 19 (Manitou Rd) at Smithtown Rd</c:v>
                </c:pt>
                <c:pt idx="9">
                  <c:v>CSAH 81 (Industrial Blvd) at John Deere Ln</c:v>
                </c:pt>
                <c:pt idx="10">
                  <c:v>CSAH 130 (West Broadway) at 76th Ave N</c:v>
                </c:pt>
                <c:pt idx="11">
                  <c:v>CSAH 28 (E Bush Lake Rd) at American Blvd / Green Valley Dr</c:v>
                </c:pt>
                <c:pt idx="12">
                  <c:v>CSAH 73 (Hopkins Crossroad) at Wayzata Blvd / North Frontage Road</c:v>
                </c:pt>
                <c:pt idx="13">
                  <c:v>CSAH 103 (West Broadway) at Dragon Star Supermarket/Rainbow Foods Driveway</c:v>
                </c:pt>
                <c:pt idx="14">
                  <c:v>CSAH 61 (Zachary Ln N) at 89th Ave N</c:v>
                </c:pt>
                <c:pt idx="15">
                  <c:v>CSAH 17 (France Ave) at I-494 N Ramp / 78th St</c:v>
                </c:pt>
                <c:pt idx="16">
                  <c:v>CSAH 81 (Main St) at John Milless Dr / Industrial Blvd</c:v>
                </c:pt>
                <c:pt idx="17">
                  <c:v>CSAH 61 (Flying Cloud Dr) at Charlson Rd</c:v>
                </c:pt>
                <c:pt idx="18">
                  <c:v>CSAH 28 (E Bush Lake Rd) at 78th St W </c:v>
                </c:pt>
                <c:pt idx="19">
                  <c:v>CSAH 15 (Lynwood Blvd) at CSAH 110 (Commerce Blvd)</c:v>
                </c:pt>
                <c:pt idx="20">
                  <c:v>CSAH 101 (County Rd 101) at Hutchins Dr</c:v>
                </c:pt>
                <c:pt idx="21">
                  <c:v>CSAH 61 (Northwest Blvd) at W Medicine Lake Dr</c:v>
                </c:pt>
                <c:pt idx="22">
                  <c:v>CSAH 130 (Elm Creek Blvd) at Fountains Dr-BACKHAUL</c:v>
                </c:pt>
                <c:pt idx="23">
                  <c:v>CSAH 103 (West Broadway) at Oak Grove Pkwy</c:v>
                </c:pt>
                <c:pt idx="24">
                  <c:v>CSAH 1 (Pioneer Trail) at Staring Lake Parkway</c:v>
                </c:pt>
                <c:pt idx="25">
                  <c:v>CR 101 (Brockton Ln) at Dayton Parkway</c:v>
                </c:pt>
                <c:pt idx="26">
                  <c:v>CSAH 73 (Hopkins Crossroad) at S Frontage Rd</c:v>
                </c:pt>
                <c:pt idx="27">
                  <c:v>CSAH 81 (Bottineau) at 35th Ave/HyVee</c:v>
                </c:pt>
                <c:pt idx="28">
                  <c:v>CSAH 130 (West Broadway) at 73rd Ave N</c:v>
                </c:pt>
                <c:pt idx="29">
                  <c:v>CSAH 1 (Pioneer Trail) at Dell Rd</c:v>
                </c:pt>
                <c:pt idx="30">
                  <c:v>CSAH 153 (Kenzie Ter) at Kenzington Apts</c:v>
                </c:pt>
                <c:pt idx="31">
                  <c:v>CSAH 27 (Stinson Blvd NE) at 37th Ave NE</c:v>
                </c:pt>
                <c:pt idx="32">
                  <c:v>CSAH 81 (Industrial Blvd) at John Milless Dr / Memorial Dr</c:v>
                </c:pt>
                <c:pt idx="33">
                  <c:v>CSAH 152 (Brooklyn Blvd) at Jolly Lane</c:v>
                </c:pt>
                <c:pt idx="34">
                  <c:v>CSAH 101 (Central Ave) at Wayzata Blvd - Master Controller</c:v>
                </c:pt>
                <c:pt idx="35">
                  <c:v>CSAH 1 (Pioneer Trail) at Bennett Place</c:v>
                </c:pt>
                <c:pt idx="36">
                  <c:v>CSAH 144 (141st Ave N) at Northdale Blvd</c:v>
                </c:pt>
                <c:pt idx="37">
                  <c:v>CSAH 15 (Shoreline Dr) at CSAH 51 (Sunset Dr)</c:v>
                </c:pt>
                <c:pt idx="38">
                  <c:v>CSAH 8 (West Broadway) at 57th Ave N</c:v>
                </c:pt>
                <c:pt idx="39">
                  <c:v>CSAH 25 (Hwy 7) at Lynn Ave</c:v>
                </c:pt>
                <c:pt idx="40">
                  <c:v>CSAH 24 (County Rd 24) at Medina Rd</c:v>
                </c:pt>
                <c:pt idx="41">
                  <c:v>CSAH 1 (Pioneer Trail) at Homeward Hills Rd</c:v>
                </c:pt>
                <c:pt idx="42">
                  <c:v>CSAH 130 (77th Ave N) at Boone Ave N</c:v>
                </c:pt>
                <c:pt idx="43">
                  <c:v>CSAH 144 (141st Ave N) at James Rd/Rogers Dr</c:v>
                </c:pt>
                <c:pt idx="44">
                  <c:v>CSAH 110 (Commerce Blvd) at Sunnyfield Rd E</c:v>
                </c:pt>
                <c:pt idx="45">
                  <c:v>CSAH 1 (Pioneer Trail) at Mitchell Rd</c:v>
                </c:pt>
                <c:pt idx="46">
                  <c:v>CSAH 144 (141st Ave N) at Rogers High School W Entr</c:v>
                </c:pt>
                <c:pt idx="47">
                  <c:v>CSAH 73 (Hopkins Crossroad) at Minnetonka Mills Rd / 5th St N</c:v>
                </c:pt>
              </c:strCache>
            </c:strRef>
          </c:cat>
          <c:val>
            <c:numRef>
              <c:f>Data!$J$2:$J$49</c:f>
              <c:numCache>
                <c:formatCode>0.00</c:formatCode>
                <c:ptCount val="48"/>
                <c:pt idx="0">
                  <c:v>8.31858077074772</c:v>
                </c:pt>
                <c:pt idx="1">
                  <c:v>7.46838831571677</c:v>
                </c:pt>
                <c:pt idx="2">
                  <c:v>6.14645180399796</c:v>
                </c:pt>
                <c:pt idx="3">
                  <c:v>5.43627378134125</c:v>
                </c:pt>
                <c:pt idx="4">
                  <c:v>4.77849645358916</c:v>
                </c:pt>
                <c:pt idx="5">
                  <c:v>4.2574492511214</c:v>
                </c:pt>
                <c:pt idx="6">
                  <c:v>3.78872410974286</c:v>
                </c:pt>
                <c:pt idx="7">
                  <c:v>3.23443016025056</c:v>
                </c:pt>
                <c:pt idx="8">
                  <c:v>2.64382502663663</c:v>
                </c:pt>
                <c:pt idx="9">
                  <c:v>2.59272486435067</c:v>
                </c:pt>
                <c:pt idx="10">
                  <c:v>2.52838866567484</c:v>
                </c:pt>
                <c:pt idx="11">
                  <c:v>2.40757288272416</c:v>
                </c:pt>
                <c:pt idx="12">
                  <c:v>2.3441951748178</c:v>
                </c:pt>
                <c:pt idx="13">
                  <c:v>2.30577165273859</c:v>
                </c:pt>
                <c:pt idx="14">
                  <c:v>2.22911285030141</c:v>
                </c:pt>
                <c:pt idx="15">
                  <c:v>2.12767346164481</c:v>
                </c:pt>
                <c:pt idx="16">
                  <c:v>2.06764225838768</c:v>
                </c:pt>
                <c:pt idx="17">
                  <c:v>1.96773982019981</c:v>
                </c:pt>
                <c:pt idx="18">
                  <c:v>1.9597274201944</c:v>
                </c:pt>
                <c:pt idx="19">
                  <c:v>1.81735368792663</c:v>
                </c:pt>
                <c:pt idx="20">
                  <c:v>1.62937633978071</c:v>
                </c:pt>
                <c:pt idx="21">
                  <c:v>1.56743509973401</c:v>
                </c:pt>
                <c:pt idx="22">
                  <c:v>1.47209923818884</c:v>
                </c:pt>
                <c:pt idx="23">
                  <c:v>0.992277876713668</c:v>
                </c:pt>
                <c:pt idx="24">
                  <c:v>0.920357986616845</c:v>
                </c:pt>
                <c:pt idx="25">
                  <c:v>0.918091917010383</c:v>
                </c:pt>
                <c:pt idx="26">
                  <c:v>0.905357460425185</c:v>
                </c:pt>
                <c:pt idx="27">
                  <c:v>0.876226290320224</c:v>
                </c:pt>
                <c:pt idx="28">
                  <c:v>0.821032707948284</c:v>
                </c:pt>
                <c:pt idx="29">
                  <c:v>0.809831191215541</c:v>
                </c:pt>
                <c:pt idx="30">
                  <c:v>0.795146567945891</c:v>
                </c:pt>
                <c:pt idx="31">
                  <c:v>0.690522405178123</c:v>
                </c:pt>
                <c:pt idx="32">
                  <c:v>0.628539361054709</c:v>
                </c:pt>
                <c:pt idx="33">
                  <c:v>0.583997116070745</c:v>
                </c:pt>
                <c:pt idx="34">
                  <c:v>0.556890098923011</c:v>
                </c:pt>
                <c:pt idx="35">
                  <c:v>0.549250377927618</c:v>
                </c:pt>
                <c:pt idx="36">
                  <c:v>0.536056267418897</c:v>
                </c:pt>
                <c:pt idx="37">
                  <c:v>0.471404520791032</c:v>
                </c:pt>
                <c:pt idx="38">
                  <c:v>0.451753951452626</c:v>
                </c:pt>
                <c:pt idx="39">
                  <c:v>0.436821154304661</c:v>
                </c:pt>
                <c:pt idx="40">
                  <c:v>0.314658387763776</c:v>
                </c:pt>
                <c:pt idx="41">
                  <c:v>0.309015721574763</c:v>
                </c:pt>
                <c:pt idx="42">
                  <c:v>0.308606699924184</c:v>
                </c:pt>
                <c:pt idx="43">
                  <c:v>0.302275633115927</c:v>
                </c:pt>
                <c:pt idx="44">
                  <c:v>0.188051742242167</c:v>
                </c:pt>
                <c:pt idx="45">
                  <c:v>0.182069138710321</c:v>
                </c:pt>
                <c:pt idx="46">
                  <c:v>0.159111456835146</c:v>
                </c:pt>
                <c:pt idx="47">
                  <c:v>0.0610278197697353</c:v>
                </c:pt>
              </c:numCache>
            </c:numRef>
          </c:val>
        </c:ser>
        <c:gapWidth val="150"/>
        <c:overlap val="0"/>
        <c:axId val="8453106"/>
        <c:axId val="7211663"/>
      </c:barChart>
      <c:catAx>
        <c:axId val="84531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1663"/>
        <c:crosses val="autoZero"/>
        <c:auto val="1"/>
        <c:lblAlgn val="ctr"/>
        <c:lblOffset val="100"/>
        <c:noMultiLvlLbl val="0"/>
      </c:catAx>
      <c:valAx>
        <c:axId val="72116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GEH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531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1st Calibration: GEH by Intersection (sorted)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"GEH"</c:f>
              <c:strCache>
                <c:ptCount val="1"/>
                <c:pt idx="0">
                  <c:v>GEH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Data!$C$50:$C$96</c:f>
              <c:strCache>
                <c:ptCount val="47"/>
                <c:pt idx="0">
                  <c:v>CSAH 10 (Bass Lake Rd) at Sherburne Ave</c:v>
                </c:pt>
                <c:pt idx="1">
                  <c:v>CSAH 10 (Bass Lake Rd) at Regent Ave</c:v>
                </c:pt>
                <c:pt idx="2">
                  <c:v>CSAH 1 (Pioneer Trail) at Mitchell Rd</c:v>
                </c:pt>
                <c:pt idx="3">
                  <c:v>CSAH 1 (Old Shakopee Rd) at Xerxes Ave S</c:v>
                </c:pt>
                <c:pt idx="4">
                  <c:v>CSAH 1 (Pioneer Trail) at CSAH 61 (Flying Cloud Dr)</c:v>
                </c:pt>
                <c:pt idx="5">
                  <c:v>CSAH 1 (Old Shakopee Rd) at CSAH 34 (Normandale Blvd)</c:v>
                </c:pt>
                <c:pt idx="6">
                  <c:v>CSAH 152 (Brooklyn Blvd) at 73rd Ave N / Regent Ave</c:v>
                </c:pt>
                <c:pt idx="7">
                  <c:v>CSAH 136 (Silver Lake Rd) at 33rd Ave NE</c:v>
                </c:pt>
                <c:pt idx="8">
                  <c:v>CSAH 10 (Bass Lake Rd) at Nathan Ln</c:v>
                </c:pt>
                <c:pt idx="9">
                  <c:v>CSAH 5 (Minnetonka Blvd) at CSAH 16 (McGinty Rd W)</c:v>
                </c:pt>
                <c:pt idx="10">
                  <c:v>CSAH 19 (Manitou Rd) at Smithtown Rd</c:v>
                </c:pt>
                <c:pt idx="11">
                  <c:v>CSAH 17 (France Ave) at 65th St W</c:v>
                </c:pt>
                <c:pt idx="12">
                  <c:v>CSAH 130 (West Broadway) at 76th Ave N</c:v>
                </c:pt>
                <c:pt idx="13">
                  <c:v>CSAH 81 (Main St) at John Milless Dr / Industrial Blvd</c:v>
                </c:pt>
                <c:pt idx="14">
                  <c:v>CSAH 1 (Old Shakopee Rd) at CSAH 17 (France Ave)</c:v>
                </c:pt>
                <c:pt idx="15">
                  <c:v>CSAH 10 (Bass Lake Rd) at Zachary Ln BACKHAUL</c:v>
                </c:pt>
                <c:pt idx="16">
                  <c:v>CSAH 5 (Minnetonka Blvd) at CSAH 61 W Jct (Plymouth Rd)</c:v>
                </c:pt>
                <c:pt idx="17">
                  <c:v>CSAH 1 (Pioneer Trail) at CSAH 4  (Eden Prairie Rd)</c:v>
                </c:pt>
                <c:pt idx="18">
                  <c:v>CSAH 1 (Pioneer Trail) at Dell Rd</c:v>
                </c:pt>
                <c:pt idx="19">
                  <c:v>CSAH 10 (Bass Lake Rd) at Vicksburg Ln</c:v>
                </c:pt>
                <c:pt idx="20">
                  <c:v>CSAH 1 (Pioneer Trail) at Staring Lake Parkway</c:v>
                </c:pt>
                <c:pt idx="21">
                  <c:v>CSAH 88 (New Brighton Blvd) at CSAH 94 (29th Ave NE)</c:v>
                </c:pt>
                <c:pt idx="22">
                  <c:v>CSAH 9 (Rockford Rd) at Larch Ln BACKHAUL</c:v>
                </c:pt>
                <c:pt idx="23">
                  <c:v>CSAH 121 (Maple Grove Pkwy) at Hospital Dr</c:v>
                </c:pt>
                <c:pt idx="24">
                  <c:v>CSAH 152 (Brooklyn Blvd) at 55th Ave N</c:v>
                </c:pt>
                <c:pt idx="25">
                  <c:v>CSAH 28 (E Bush Lake Rd) at 78th St W </c:v>
                </c:pt>
                <c:pt idx="26">
                  <c:v>CSAH 101 (Central Ave) at 14th Ave N - Master Controller</c:v>
                </c:pt>
                <c:pt idx="27">
                  <c:v>CSAH 1 (Pioneer Trail) at Bennett Place</c:v>
                </c:pt>
                <c:pt idx="28">
                  <c:v>CSAH 10 (County Road 10) at CSAH 116 (Fletcher Ln)</c:v>
                </c:pt>
                <c:pt idx="29">
                  <c:v>CSAH 152 (Brooklyn Blvd) at 63rd Ave N</c:v>
                </c:pt>
                <c:pt idx="30">
                  <c:v>CSAH 152 (Brooklyn Blvd) at Cub Foods Driveway</c:v>
                </c:pt>
                <c:pt idx="31">
                  <c:v>CSAH 101 (County Rd 101) at Hutchins Dr</c:v>
                </c:pt>
                <c:pt idx="32">
                  <c:v>CSAH 121 (Maple Grove Pkwy) at 99th Ave / Grove Cir</c:v>
                </c:pt>
                <c:pt idx="33">
                  <c:v>CSAH 73 (Hopkins Crossroad) at Wayzata Blvd / North Frontage Road</c:v>
                </c:pt>
                <c:pt idx="34">
                  <c:v>CSAH 10 (Bass Lake Rd) at CSAH 152 (Brooklyn Blvd) - Master Controller</c:v>
                </c:pt>
                <c:pt idx="35">
                  <c:v>CSAH 152 (Brooklyn Blvd) at Unity Ave N</c:v>
                </c:pt>
                <c:pt idx="36">
                  <c:v>CSAH 1 (Old Shakopee Rd) at Nesbitt Ave</c:v>
                </c:pt>
                <c:pt idx="37">
                  <c:v>CSAH 10 (Bass Lake Rd) at Sycamore Ln / Prudential Bldg - Master Controller</c:v>
                </c:pt>
                <c:pt idx="38">
                  <c:v>CSAH 61 (Flying Cloud Dr) at Singletree Ln</c:v>
                </c:pt>
                <c:pt idx="39">
                  <c:v>CSAH 152 (Brooklyn Blvd) at Noble Ave / 71st Ave</c:v>
                </c:pt>
                <c:pt idx="40">
                  <c:v>CSAH 61 (Flying Cloud Dr) at Regional Center Rd</c:v>
                </c:pt>
                <c:pt idx="41">
                  <c:v>CSAH 109 (85th Ave N) at Edinbrook Pkwy N</c:v>
                </c:pt>
                <c:pt idx="42">
                  <c:v>CSAH 88 (New Brighton Blvd) at St Anthony Blvd</c:v>
                </c:pt>
                <c:pt idx="43">
                  <c:v>CSAH 1 (Pioneer Trail) at Homeward Hills Rd</c:v>
                </c:pt>
                <c:pt idx="44">
                  <c:v>CSAH 152 (Brooklyn Blvd) at 65th Ave N</c:v>
                </c:pt>
                <c:pt idx="45">
                  <c:v>CSAH 152 (Brooklyn Blvd / Osseo Rd) at 49th Ave N BACKHAUL</c:v>
                </c:pt>
                <c:pt idx="46">
                  <c:v>CSAH 30 (93rd Ave) at CSAH 121 (Maple Grove Pkwy)</c:v>
                </c:pt>
              </c:strCache>
            </c:strRef>
          </c:cat>
          <c:val>
            <c:numRef>
              <c:f>Data!$J$50:$J$96</c:f>
              <c:numCache>
                <c:formatCode>0.00</c:formatCode>
                <c:ptCount val="47"/>
                <c:pt idx="0">
                  <c:v>11.118743282829</c:v>
                </c:pt>
                <c:pt idx="1">
                  <c:v>10.9822522949918</c:v>
                </c:pt>
                <c:pt idx="2">
                  <c:v>5.88348405414552</c:v>
                </c:pt>
                <c:pt idx="3">
                  <c:v>5.56263041580664</c:v>
                </c:pt>
                <c:pt idx="4">
                  <c:v>5.005564831995</c:v>
                </c:pt>
                <c:pt idx="5">
                  <c:v>4.17051421943256</c:v>
                </c:pt>
                <c:pt idx="6">
                  <c:v>3.01701213201479</c:v>
                </c:pt>
                <c:pt idx="7">
                  <c:v>2.96245158660611</c:v>
                </c:pt>
                <c:pt idx="8">
                  <c:v>2.17365950422944</c:v>
                </c:pt>
                <c:pt idx="9">
                  <c:v>1.93564128740728</c:v>
                </c:pt>
                <c:pt idx="10">
                  <c:v>1.71812836118323</c:v>
                </c:pt>
                <c:pt idx="11">
                  <c:v>1.49853729853071</c:v>
                </c:pt>
                <c:pt idx="12">
                  <c:v>1.48741029327182</c:v>
                </c:pt>
                <c:pt idx="13">
                  <c:v>1.36788951248889</c:v>
                </c:pt>
                <c:pt idx="14">
                  <c:v>1.33837196450667</c:v>
                </c:pt>
                <c:pt idx="15">
                  <c:v>1.31558702896054</c:v>
                </c:pt>
                <c:pt idx="16">
                  <c:v>1.06956480476656</c:v>
                </c:pt>
                <c:pt idx="17">
                  <c:v>1.06093420877491</c:v>
                </c:pt>
                <c:pt idx="18">
                  <c:v>1.04643328713989</c:v>
                </c:pt>
                <c:pt idx="19">
                  <c:v>1.03237080241753</c:v>
                </c:pt>
                <c:pt idx="20">
                  <c:v>0.9114654303753</c:v>
                </c:pt>
                <c:pt idx="21">
                  <c:v>0.769378943023837</c:v>
                </c:pt>
                <c:pt idx="22">
                  <c:v>0.738811354463376</c:v>
                </c:pt>
                <c:pt idx="23">
                  <c:v>0.657595949221429</c:v>
                </c:pt>
                <c:pt idx="24">
                  <c:v>0.618115099963687</c:v>
                </c:pt>
                <c:pt idx="25">
                  <c:v>0.59850560166458</c:v>
                </c:pt>
                <c:pt idx="26">
                  <c:v>0.590604105551531</c:v>
                </c:pt>
                <c:pt idx="27">
                  <c:v>0.549250377927618</c:v>
                </c:pt>
                <c:pt idx="28">
                  <c:v>0.483621975097427</c:v>
                </c:pt>
                <c:pt idx="29">
                  <c:v>0.456025132744326</c:v>
                </c:pt>
                <c:pt idx="30">
                  <c:v>0.455960752587553</c:v>
                </c:pt>
                <c:pt idx="31">
                  <c:v>0.443242207177936</c:v>
                </c:pt>
                <c:pt idx="32">
                  <c:v>0.374188837466729</c:v>
                </c:pt>
                <c:pt idx="33">
                  <c:v>0.288009216442392</c:v>
                </c:pt>
                <c:pt idx="34">
                  <c:v>0.255654996282457</c:v>
                </c:pt>
                <c:pt idx="35">
                  <c:v>0.240423518417173</c:v>
                </c:pt>
                <c:pt idx="36">
                  <c:v>0.231001716349129</c:v>
                </c:pt>
                <c:pt idx="37">
                  <c:v>0.22979399584857</c:v>
                </c:pt>
                <c:pt idx="38">
                  <c:v>0.204379779828322</c:v>
                </c:pt>
                <c:pt idx="39">
                  <c:v>0.199007438041998</c:v>
                </c:pt>
                <c:pt idx="40">
                  <c:v>0.144757032196014</c:v>
                </c:pt>
                <c:pt idx="41">
                  <c:v>0.138013111868471</c:v>
                </c:pt>
                <c:pt idx="42">
                  <c:v>0.0964485644340824</c:v>
                </c:pt>
                <c:pt idx="43">
                  <c:v>0.0670401523153991</c:v>
                </c:pt>
                <c:pt idx="44">
                  <c:v>0.040144782295185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</c:ser>
        <c:gapWidth val="150"/>
        <c:overlap val="0"/>
        <c:axId val="63002391"/>
        <c:axId val="24937538"/>
      </c:barChart>
      <c:catAx>
        <c:axId val="63002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37538"/>
        <c:crosses val="autoZero"/>
        <c:auto val="1"/>
        <c:lblAlgn val="ctr"/>
        <c:lblOffset val="100"/>
        <c:noMultiLvlLbl val="0"/>
      </c:catAx>
      <c:valAx>
        <c:axId val="249375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GEH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0023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Baseline: Manual vs. Vision 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"Intersections"</c:f>
              <c:strCache>
                <c:ptCount val="1"/>
                <c:pt idx="0">
                  <c:v>Intersections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Data!$F$2:$F$49</c:f>
              <c:numCache>
                <c:formatCode>General</c:formatCode>
                <c:ptCount val="48"/>
                <c:pt idx="0">
                  <c:v>254</c:v>
                </c:pt>
                <c:pt idx="1">
                  <c:v>176</c:v>
                </c:pt>
                <c:pt idx="2">
                  <c:v>469</c:v>
                </c:pt>
                <c:pt idx="3">
                  <c:v>390</c:v>
                </c:pt>
                <c:pt idx="4">
                  <c:v>658</c:v>
                </c:pt>
                <c:pt idx="5">
                  <c:v>322</c:v>
                </c:pt>
                <c:pt idx="6">
                  <c:v>308</c:v>
                </c:pt>
                <c:pt idx="7">
                  <c:v>476</c:v>
                </c:pt>
                <c:pt idx="8">
                  <c:v>368</c:v>
                </c:pt>
                <c:pt idx="9">
                  <c:v>310</c:v>
                </c:pt>
                <c:pt idx="10">
                  <c:v>308</c:v>
                </c:pt>
                <c:pt idx="11">
                  <c:v>356</c:v>
                </c:pt>
                <c:pt idx="12">
                  <c:v>391</c:v>
                </c:pt>
                <c:pt idx="13">
                  <c:v>421</c:v>
                </c:pt>
                <c:pt idx="14">
                  <c:v>342</c:v>
                </c:pt>
                <c:pt idx="15">
                  <c:v>647</c:v>
                </c:pt>
                <c:pt idx="16">
                  <c:v>454</c:v>
                </c:pt>
                <c:pt idx="17">
                  <c:v>136</c:v>
                </c:pt>
                <c:pt idx="18">
                  <c:v>284</c:v>
                </c:pt>
                <c:pt idx="19">
                  <c:v>433</c:v>
                </c:pt>
                <c:pt idx="20">
                  <c:v>354</c:v>
                </c:pt>
                <c:pt idx="21">
                  <c:v>208</c:v>
                </c:pt>
                <c:pt idx="22">
                  <c:v>214</c:v>
                </c:pt>
                <c:pt idx="23">
                  <c:v>252</c:v>
                </c:pt>
                <c:pt idx="24">
                  <c:v>176</c:v>
                </c:pt>
                <c:pt idx="25">
                  <c:v>207</c:v>
                </c:pt>
                <c:pt idx="26">
                  <c:v>282</c:v>
                </c:pt>
                <c:pt idx="27">
                  <c:v>413</c:v>
                </c:pt>
                <c:pt idx="28">
                  <c:v>174</c:v>
                </c:pt>
                <c:pt idx="29">
                  <c:v>190</c:v>
                </c:pt>
                <c:pt idx="30">
                  <c:v>81</c:v>
                </c:pt>
                <c:pt idx="31">
                  <c:v>308</c:v>
                </c:pt>
                <c:pt idx="32">
                  <c:v>158</c:v>
                </c:pt>
                <c:pt idx="33">
                  <c:v>242</c:v>
                </c:pt>
                <c:pt idx="34">
                  <c:v>625</c:v>
                </c:pt>
                <c:pt idx="35">
                  <c:v>273</c:v>
                </c:pt>
                <c:pt idx="36">
                  <c:v>353</c:v>
                </c:pt>
                <c:pt idx="37">
                  <c:v>369</c:v>
                </c:pt>
                <c:pt idx="38">
                  <c:v>125</c:v>
                </c:pt>
                <c:pt idx="39">
                  <c:v>429</c:v>
                </c:pt>
                <c:pt idx="40">
                  <c:v>255</c:v>
                </c:pt>
                <c:pt idx="41">
                  <c:v>380</c:v>
                </c:pt>
                <c:pt idx="42">
                  <c:v>166</c:v>
                </c:pt>
                <c:pt idx="43">
                  <c:v>397</c:v>
                </c:pt>
                <c:pt idx="44">
                  <c:v>256</c:v>
                </c:pt>
                <c:pt idx="45">
                  <c:v>273</c:v>
                </c:pt>
                <c:pt idx="46">
                  <c:v>157</c:v>
                </c:pt>
                <c:pt idx="47">
                  <c:v>269</c:v>
                </c:pt>
              </c:numCache>
            </c:numRef>
          </c:xVal>
          <c:yVal>
            <c:numRef>
              <c:f>Data!$G$2:$G$49</c:f>
              <c:numCache>
                <c:formatCode>General</c:formatCode>
                <c:ptCount val="48"/>
                <c:pt idx="0">
                  <c:v>405</c:v>
                </c:pt>
                <c:pt idx="1">
                  <c:v>290</c:v>
                </c:pt>
                <c:pt idx="2">
                  <c:v>345</c:v>
                </c:pt>
                <c:pt idx="3">
                  <c:v>505</c:v>
                </c:pt>
                <c:pt idx="4">
                  <c:v>541</c:v>
                </c:pt>
                <c:pt idx="5">
                  <c:v>250</c:v>
                </c:pt>
                <c:pt idx="6">
                  <c:v>245</c:v>
                </c:pt>
                <c:pt idx="7">
                  <c:v>408</c:v>
                </c:pt>
                <c:pt idx="8">
                  <c:v>319</c:v>
                </c:pt>
                <c:pt idx="9">
                  <c:v>266</c:v>
                </c:pt>
                <c:pt idx="10">
                  <c:v>354</c:v>
                </c:pt>
                <c:pt idx="11">
                  <c:v>312</c:v>
                </c:pt>
                <c:pt idx="12">
                  <c:v>346</c:v>
                </c:pt>
                <c:pt idx="13">
                  <c:v>375</c:v>
                </c:pt>
                <c:pt idx="14">
                  <c:v>302</c:v>
                </c:pt>
                <c:pt idx="15">
                  <c:v>594</c:v>
                </c:pt>
                <c:pt idx="16">
                  <c:v>411</c:v>
                </c:pt>
                <c:pt idx="17">
                  <c:v>114</c:v>
                </c:pt>
                <c:pt idx="18">
                  <c:v>318</c:v>
                </c:pt>
                <c:pt idx="19">
                  <c:v>396</c:v>
                </c:pt>
                <c:pt idx="20">
                  <c:v>324</c:v>
                </c:pt>
                <c:pt idx="21">
                  <c:v>186</c:v>
                </c:pt>
                <c:pt idx="22">
                  <c:v>193</c:v>
                </c:pt>
                <c:pt idx="23">
                  <c:v>268</c:v>
                </c:pt>
                <c:pt idx="24">
                  <c:v>164</c:v>
                </c:pt>
                <c:pt idx="25">
                  <c:v>194</c:v>
                </c:pt>
                <c:pt idx="26">
                  <c:v>267</c:v>
                </c:pt>
                <c:pt idx="27">
                  <c:v>431</c:v>
                </c:pt>
                <c:pt idx="28">
                  <c:v>185</c:v>
                </c:pt>
                <c:pt idx="29">
                  <c:v>179</c:v>
                </c:pt>
                <c:pt idx="30">
                  <c:v>74</c:v>
                </c:pt>
                <c:pt idx="31">
                  <c:v>296</c:v>
                </c:pt>
                <c:pt idx="32">
                  <c:v>166</c:v>
                </c:pt>
                <c:pt idx="33">
                  <c:v>233</c:v>
                </c:pt>
                <c:pt idx="34">
                  <c:v>639</c:v>
                </c:pt>
                <c:pt idx="35">
                  <c:v>264</c:v>
                </c:pt>
                <c:pt idx="36">
                  <c:v>343</c:v>
                </c:pt>
                <c:pt idx="37">
                  <c:v>360</c:v>
                </c:pt>
                <c:pt idx="38">
                  <c:v>120</c:v>
                </c:pt>
                <c:pt idx="39">
                  <c:v>420</c:v>
                </c:pt>
                <c:pt idx="40">
                  <c:v>250</c:v>
                </c:pt>
                <c:pt idx="41">
                  <c:v>374</c:v>
                </c:pt>
                <c:pt idx="42">
                  <c:v>170</c:v>
                </c:pt>
                <c:pt idx="43">
                  <c:v>391</c:v>
                </c:pt>
                <c:pt idx="44">
                  <c:v>253</c:v>
                </c:pt>
                <c:pt idx="45">
                  <c:v>270</c:v>
                </c:pt>
                <c:pt idx="46">
                  <c:v>159</c:v>
                </c:pt>
                <c:pt idx="47">
                  <c:v>268</c:v>
                </c:pt>
              </c:numCache>
            </c:numRef>
          </c:yVal>
          <c:smooth val="1"/>
        </c:ser>
        <c:axId val="35676090"/>
        <c:axId val="46559688"/>
      </c:scatterChart>
      <c:valAx>
        <c:axId val="35676090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Manual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559688"/>
        <c:crosses val="autoZero"/>
        <c:crossBetween val="midCat"/>
      </c:valAx>
      <c:valAx>
        <c:axId val="465596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Vision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7609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1st Calibration: Manual vs. Vision 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"Intersections"</c:f>
              <c:strCache>
                <c:ptCount val="1"/>
                <c:pt idx="0">
                  <c:v>Intersections</c:v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5"/>
            <c:spPr>
              <a:noFill/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Data!$F$50:$F$96</c:f>
              <c:numCache>
                <c:formatCode>General</c:formatCode>
                <c:ptCount val="47"/>
                <c:pt idx="0">
                  <c:v>691</c:v>
                </c:pt>
                <c:pt idx="1">
                  <c:v>305</c:v>
                </c:pt>
                <c:pt idx="2">
                  <c:v>200</c:v>
                </c:pt>
                <c:pt idx="3">
                  <c:v>477</c:v>
                </c:pt>
                <c:pt idx="4">
                  <c:v>187</c:v>
                </c:pt>
                <c:pt idx="5">
                  <c:v>699</c:v>
                </c:pt>
                <c:pt idx="6">
                  <c:v>542</c:v>
                </c:pt>
                <c:pt idx="7">
                  <c:v>222</c:v>
                </c:pt>
                <c:pt idx="8">
                  <c:v>576</c:v>
                </c:pt>
                <c:pt idx="9">
                  <c:v>515</c:v>
                </c:pt>
                <c:pt idx="10">
                  <c:v>242</c:v>
                </c:pt>
                <c:pt idx="11">
                  <c:v>472</c:v>
                </c:pt>
                <c:pt idx="12">
                  <c:v>295</c:v>
                </c:pt>
                <c:pt idx="13">
                  <c:v>405</c:v>
                </c:pt>
                <c:pt idx="14">
                  <c:v>521</c:v>
                </c:pt>
                <c:pt idx="15">
                  <c:v>505</c:v>
                </c:pt>
                <c:pt idx="16">
                  <c:v>396</c:v>
                </c:pt>
                <c:pt idx="17">
                  <c:v>113</c:v>
                </c:pt>
                <c:pt idx="18">
                  <c:v>105</c:v>
                </c:pt>
                <c:pt idx="19">
                  <c:v>313</c:v>
                </c:pt>
                <c:pt idx="20">
                  <c:v>93</c:v>
                </c:pt>
                <c:pt idx="21">
                  <c:v>292</c:v>
                </c:pt>
                <c:pt idx="22">
                  <c:v>477</c:v>
                </c:pt>
                <c:pt idx="23">
                  <c:v>339</c:v>
                </c:pt>
                <c:pt idx="24">
                  <c:v>520</c:v>
                </c:pt>
                <c:pt idx="25">
                  <c:v>396</c:v>
                </c:pt>
                <c:pt idx="26">
                  <c:v>478</c:v>
                </c:pt>
                <c:pt idx="27">
                  <c:v>273</c:v>
                </c:pt>
                <c:pt idx="28">
                  <c:v>213</c:v>
                </c:pt>
                <c:pt idx="29">
                  <c:v>385</c:v>
                </c:pt>
                <c:pt idx="30">
                  <c:v>476</c:v>
                </c:pt>
                <c:pt idx="31">
                  <c:v>514</c:v>
                </c:pt>
                <c:pt idx="32">
                  <c:v>574</c:v>
                </c:pt>
                <c:pt idx="33">
                  <c:v>437</c:v>
                </c:pt>
                <c:pt idx="34">
                  <c:v>385</c:v>
                </c:pt>
                <c:pt idx="35">
                  <c:v>435</c:v>
                </c:pt>
                <c:pt idx="36">
                  <c:v>471</c:v>
                </c:pt>
                <c:pt idx="37">
                  <c:v>301</c:v>
                </c:pt>
                <c:pt idx="38">
                  <c:v>601</c:v>
                </c:pt>
                <c:pt idx="39">
                  <c:v>402</c:v>
                </c:pt>
                <c:pt idx="40">
                  <c:v>431</c:v>
                </c:pt>
                <c:pt idx="41">
                  <c:v>209</c:v>
                </c:pt>
                <c:pt idx="42">
                  <c:v>431</c:v>
                </c:pt>
                <c:pt idx="43">
                  <c:v>223</c:v>
                </c:pt>
                <c:pt idx="44">
                  <c:v>621</c:v>
                </c:pt>
                <c:pt idx="45">
                  <c:v>226</c:v>
                </c:pt>
                <c:pt idx="46">
                  <c:v>585</c:v>
                </c:pt>
              </c:numCache>
            </c:numRef>
          </c:xVal>
          <c:yVal>
            <c:numRef>
              <c:f>Data!$G$50:$G$96</c:f>
              <c:numCache>
                <c:formatCode>General</c:formatCode>
                <c:ptCount val="47"/>
                <c:pt idx="0">
                  <c:v>428</c:v>
                </c:pt>
                <c:pt idx="1">
                  <c:v>141</c:v>
                </c:pt>
                <c:pt idx="2">
                  <c:v>125</c:v>
                </c:pt>
                <c:pt idx="3">
                  <c:v>363</c:v>
                </c:pt>
                <c:pt idx="4">
                  <c:v>262</c:v>
                </c:pt>
                <c:pt idx="5">
                  <c:v>593</c:v>
                </c:pt>
                <c:pt idx="6">
                  <c:v>474</c:v>
                </c:pt>
                <c:pt idx="7">
                  <c:v>180</c:v>
                </c:pt>
                <c:pt idx="8">
                  <c:v>525</c:v>
                </c:pt>
                <c:pt idx="9">
                  <c:v>472</c:v>
                </c:pt>
                <c:pt idx="10">
                  <c:v>216</c:v>
                </c:pt>
                <c:pt idx="11">
                  <c:v>440</c:v>
                </c:pt>
                <c:pt idx="12">
                  <c:v>270</c:v>
                </c:pt>
                <c:pt idx="13">
                  <c:v>433</c:v>
                </c:pt>
                <c:pt idx="14">
                  <c:v>552</c:v>
                </c:pt>
                <c:pt idx="15">
                  <c:v>535</c:v>
                </c:pt>
                <c:pt idx="16">
                  <c:v>375</c:v>
                </c:pt>
                <c:pt idx="17">
                  <c:v>102</c:v>
                </c:pt>
                <c:pt idx="18">
                  <c:v>116</c:v>
                </c:pt>
                <c:pt idx="19">
                  <c:v>295</c:v>
                </c:pt>
                <c:pt idx="20">
                  <c:v>102</c:v>
                </c:pt>
                <c:pt idx="21">
                  <c:v>279</c:v>
                </c:pt>
                <c:pt idx="22">
                  <c:v>461</c:v>
                </c:pt>
                <c:pt idx="23">
                  <c:v>327</c:v>
                </c:pt>
                <c:pt idx="24">
                  <c:v>506</c:v>
                </c:pt>
                <c:pt idx="25">
                  <c:v>408</c:v>
                </c:pt>
                <c:pt idx="26">
                  <c:v>491</c:v>
                </c:pt>
                <c:pt idx="27">
                  <c:v>264</c:v>
                </c:pt>
                <c:pt idx="28">
                  <c:v>206</c:v>
                </c:pt>
                <c:pt idx="29">
                  <c:v>394</c:v>
                </c:pt>
                <c:pt idx="30">
                  <c:v>486</c:v>
                </c:pt>
                <c:pt idx="31">
                  <c:v>504</c:v>
                </c:pt>
                <c:pt idx="32">
                  <c:v>583</c:v>
                </c:pt>
                <c:pt idx="33">
                  <c:v>431</c:v>
                </c:pt>
                <c:pt idx="34">
                  <c:v>380</c:v>
                </c:pt>
                <c:pt idx="35">
                  <c:v>430</c:v>
                </c:pt>
                <c:pt idx="36">
                  <c:v>466</c:v>
                </c:pt>
                <c:pt idx="37">
                  <c:v>305</c:v>
                </c:pt>
                <c:pt idx="38">
                  <c:v>596</c:v>
                </c:pt>
                <c:pt idx="39">
                  <c:v>406</c:v>
                </c:pt>
                <c:pt idx="40">
                  <c:v>428</c:v>
                </c:pt>
                <c:pt idx="41">
                  <c:v>211</c:v>
                </c:pt>
                <c:pt idx="42">
                  <c:v>429</c:v>
                </c:pt>
                <c:pt idx="43">
                  <c:v>222</c:v>
                </c:pt>
                <c:pt idx="44">
                  <c:v>620</c:v>
                </c:pt>
                <c:pt idx="45">
                  <c:v>226</c:v>
                </c:pt>
                <c:pt idx="46">
                  <c:v>585</c:v>
                </c:pt>
              </c:numCache>
            </c:numRef>
          </c:yVal>
          <c:smooth val="1"/>
        </c:ser>
        <c:axId val="50680209"/>
        <c:axId val="88328366"/>
      </c:scatterChart>
      <c:valAx>
        <c:axId val="5068020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Manual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328366"/>
        <c:crosses val="autoZero"/>
        <c:crossBetween val="midCat"/>
      </c:valAx>
      <c:valAx>
        <c:axId val="883283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Vision Total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6802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GEH: Baseline vs. 1st Calibration (top 5 by Baseline GEH)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'Paired Before-After'!B4</c:f>
              <c:strCache>
                <c:ptCount val="1"/>
                <c:pt idx="0">
                  <c:v>Baseline GEH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'Paired Before-After'!$A$5:$A$9</c:f>
              <c:strCache>
                <c:ptCount val="5"/>
                <c:pt idx="0">
                  <c:v>CSAH 109 (85th Ave N) at Edinbrook Pkwy N</c:v>
                </c:pt>
                <c:pt idx="1">
                  <c:v>CSAH 136 (Silver Lake Rd) at 33rd Ave NE</c:v>
                </c:pt>
                <c:pt idx="2">
                  <c:v>CSAH 121 (Maple Grove Pkwy) at Hospital Dr</c:v>
                </c:pt>
                <c:pt idx="3">
                  <c:v>CSAH 121 (Maple Grove Pkwy) at 99th Ave / Grove Cir</c:v>
                </c:pt>
                <c:pt idx="4">
                  <c:v>CSAH 152 (Brooklyn Blvd) at 65th Ave N</c:v>
                </c:pt>
              </c:strCache>
            </c:strRef>
          </c:cat>
          <c:val>
            <c:numRef>
              <c:f>'Paired Before-After'!$B$5:$B$9</c:f>
              <c:numCache>
                <c:formatCode>0.00</c:formatCode>
                <c:ptCount val="5"/>
                <c:pt idx="0">
                  <c:v>8.31858077074772</c:v>
                </c:pt>
                <c:pt idx="1">
                  <c:v>7.46838831571677</c:v>
                </c:pt>
                <c:pt idx="2">
                  <c:v>5.43627378134125</c:v>
                </c:pt>
                <c:pt idx="3">
                  <c:v>4.77849645358916</c:v>
                </c:pt>
                <c:pt idx="4">
                  <c:v>3.23443016025056</c:v>
                </c:pt>
              </c:numCache>
            </c:numRef>
          </c:val>
        </c:ser>
        <c:ser>
          <c:idx val="1"/>
          <c:order val="1"/>
          <c:tx>
            <c:strRef>
              <c:f>'Paired Before-After'!C4</c:f>
              <c:strCache>
                <c:ptCount val="1"/>
                <c:pt idx="0">
                  <c:v>Calib. GEH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'Paired Before-After'!$A$5:$A$9</c:f>
              <c:strCache>
                <c:ptCount val="5"/>
                <c:pt idx="0">
                  <c:v>CSAH 109 (85th Ave N) at Edinbrook Pkwy N</c:v>
                </c:pt>
                <c:pt idx="1">
                  <c:v>CSAH 136 (Silver Lake Rd) at 33rd Ave NE</c:v>
                </c:pt>
                <c:pt idx="2">
                  <c:v>CSAH 121 (Maple Grove Pkwy) at Hospital Dr</c:v>
                </c:pt>
                <c:pt idx="3">
                  <c:v>CSAH 121 (Maple Grove Pkwy) at 99th Ave / Grove Cir</c:v>
                </c:pt>
                <c:pt idx="4">
                  <c:v>CSAH 152 (Brooklyn Blvd) at 65th Ave N</c:v>
                </c:pt>
              </c:strCache>
            </c:strRef>
          </c:cat>
          <c:val>
            <c:numRef>
              <c:f>'Paired Before-After'!$C$5:$C$9</c:f>
              <c:numCache>
                <c:formatCode>0.00</c:formatCode>
                <c:ptCount val="5"/>
                <c:pt idx="0">
                  <c:v>0.138013111868471</c:v>
                </c:pt>
                <c:pt idx="1">
                  <c:v>2.96245158660611</c:v>
                </c:pt>
                <c:pt idx="2">
                  <c:v>0.657595949221429</c:v>
                </c:pt>
                <c:pt idx="3">
                  <c:v>0.374188837466729</c:v>
                </c:pt>
                <c:pt idx="4">
                  <c:v>0.040144782295185</c:v>
                </c:pt>
              </c:numCache>
            </c:numRef>
          </c:val>
        </c:ser>
        <c:gapWidth val="150"/>
        <c:overlap val="0"/>
        <c:axId val="48427428"/>
        <c:axId val="49542084"/>
      </c:barChart>
      <c:catAx>
        <c:axId val="484274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542084"/>
        <c:crosses val="autoZero"/>
        <c:auto val="1"/>
        <c:lblAlgn val="ctr"/>
        <c:lblOffset val="100"/>
        <c:noMultiLvlLbl val="0"/>
      </c:catAx>
      <c:valAx>
        <c:axId val="495420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GEH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274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All intersections — filter/slicer this one by Round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Data!J1</c:f>
              <c:strCache>
                <c:ptCount val="1"/>
                <c:pt idx="0">
                  <c:v>GEH_15min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Data!$C$2:$C$96</c:f>
              <c:strCache>
                <c:ptCount val="95"/>
                <c:pt idx="0">
                  <c:v>CSAH 109 (85th Ave N) at Edinbrook Pkwy N</c:v>
                </c:pt>
                <c:pt idx="1">
                  <c:v>CSAH 136 (Silver Lake Rd) at 33rd Ave NE</c:v>
                </c:pt>
                <c:pt idx="2">
                  <c:v>CSAH 3 (Excelsior Blvd) at Brookside Ave / Alabama Ave S BACKHAUL</c:v>
                </c:pt>
                <c:pt idx="3">
                  <c:v>CSAH 121 (Maple Grove Pkwy) at Hospital Dr</c:v>
                </c:pt>
                <c:pt idx="4">
                  <c:v>CSAH 121 (Maple Grove Pkwy) at 99th Ave / Grove Cir</c:v>
                </c:pt>
                <c:pt idx="5">
                  <c:v>CSAH 61 (Flying Cloud Dr) at Viking Drive</c:v>
                </c:pt>
                <c:pt idx="6">
                  <c:v>CSAH 1 (Pioneer Trail) at Franlo Rd </c:v>
                </c:pt>
                <c:pt idx="7">
                  <c:v>CSAH 152 (Brooklyn Blvd) at 65th Ave N</c:v>
                </c:pt>
                <c:pt idx="8">
                  <c:v>CSAH 19 (Manitou Rd) at Smithtown Rd</c:v>
                </c:pt>
                <c:pt idx="9">
                  <c:v>CSAH 81 (Industrial Blvd) at John Deere Ln</c:v>
                </c:pt>
                <c:pt idx="10">
                  <c:v>CSAH 130 (West Broadway) at 76th Ave N</c:v>
                </c:pt>
                <c:pt idx="11">
                  <c:v>CSAH 28 (E Bush Lake Rd) at American Blvd / Green Valley Dr</c:v>
                </c:pt>
                <c:pt idx="12">
                  <c:v>CSAH 73 (Hopkins Crossroad) at Wayzata Blvd / North Frontage Road</c:v>
                </c:pt>
                <c:pt idx="13">
                  <c:v>CSAH 103 (West Broadway) at Dragon Star Supermarket/Rainbow Foods Driveway</c:v>
                </c:pt>
                <c:pt idx="14">
                  <c:v>CSAH 61 (Zachary Ln N) at 89th Ave N</c:v>
                </c:pt>
                <c:pt idx="15">
                  <c:v>CSAH 17 (France Ave) at I-494 N Ramp / 78th St</c:v>
                </c:pt>
                <c:pt idx="16">
                  <c:v>CSAH 81 (Main St) at John Milless Dr / Industrial Blvd</c:v>
                </c:pt>
                <c:pt idx="17">
                  <c:v>CSAH 61 (Flying Cloud Dr) at Charlson Rd</c:v>
                </c:pt>
                <c:pt idx="18">
                  <c:v>CSAH 28 (E Bush Lake Rd) at 78th St W </c:v>
                </c:pt>
                <c:pt idx="19">
                  <c:v>CSAH 15 (Lynwood Blvd) at CSAH 110 (Commerce Blvd)</c:v>
                </c:pt>
                <c:pt idx="20">
                  <c:v>CSAH 101 (County Rd 101) at Hutchins Dr</c:v>
                </c:pt>
                <c:pt idx="21">
                  <c:v>CSAH 61 (Northwest Blvd) at W Medicine Lake Dr</c:v>
                </c:pt>
                <c:pt idx="22">
                  <c:v>CSAH 130 (Elm Creek Blvd) at Fountains Dr-BACKHAUL</c:v>
                </c:pt>
                <c:pt idx="23">
                  <c:v>CSAH 103 (West Broadway) at Oak Grove Pkwy</c:v>
                </c:pt>
                <c:pt idx="24">
                  <c:v>CSAH 1 (Pioneer Trail) at Staring Lake Parkway</c:v>
                </c:pt>
                <c:pt idx="25">
                  <c:v>CR 101 (Brockton Ln) at Dayton Parkway</c:v>
                </c:pt>
                <c:pt idx="26">
                  <c:v>CSAH 73 (Hopkins Crossroad) at S Frontage Rd</c:v>
                </c:pt>
                <c:pt idx="27">
                  <c:v>CSAH 81 (Bottineau) at 35th Ave/HyVee</c:v>
                </c:pt>
                <c:pt idx="28">
                  <c:v>CSAH 130 (West Broadway) at 73rd Ave N</c:v>
                </c:pt>
                <c:pt idx="29">
                  <c:v>CSAH 1 (Pioneer Trail) at Dell Rd</c:v>
                </c:pt>
                <c:pt idx="30">
                  <c:v>CSAH 153 (Kenzie Ter) at Kenzington Apts</c:v>
                </c:pt>
                <c:pt idx="31">
                  <c:v>CSAH 27 (Stinson Blvd NE) at 37th Ave NE</c:v>
                </c:pt>
                <c:pt idx="32">
                  <c:v>CSAH 81 (Industrial Blvd) at John Milless Dr / Memorial Dr</c:v>
                </c:pt>
                <c:pt idx="33">
                  <c:v>CSAH 152 (Brooklyn Blvd) at Jolly Lane</c:v>
                </c:pt>
                <c:pt idx="34">
                  <c:v>CSAH 101 (Central Ave) at Wayzata Blvd - Master Controller</c:v>
                </c:pt>
                <c:pt idx="35">
                  <c:v>CSAH 1 (Pioneer Trail) at Bennett Place</c:v>
                </c:pt>
                <c:pt idx="36">
                  <c:v>CSAH 144 (141st Ave N) at Northdale Blvd</c:v>
                </c:pt>
                <c:pt idx="37">
                  <c:v>CSAH 15 (Shoreline Dr) at CSAH 51 (Sunset Dr)</c:v>
                </c:pt>
                <c:pt idx="38">
                  <c:v>CSAH 8 (West Broadway) at 57th Ave N</c:v>
                </c:pt>
                <c:pt idx="39">
                  <c:v>CSAH 25 (Hwy 7) at Lynn Ave</c:v>
                </c:pt>
                <c:pt idx="40">
                  <c:v>CSAH 24 (County Rd 24) at Medina Rd</c:v>
                </c:pt>
                <c:pt idx="41">
                  <c:v>CSAH 1 (Pioneer Trail) at Homeward Hills Rd</c:v>
                </c:pt>
                <c:pt idx="42">
                  <c:v>CSAH 130 (77th Ave N) at Boone Ave N</c:v>
                </c:pt>
                <c:pt idx="43">
                  <c:v>CSAH 144 (141st Ave N) at James Rd/Rogers Dr</c:v>
                </c:pt>
                <c:pt idx="44">
                  <c:v>CSAH 110 (Commerce Blvd) at Sunnyfield Rd E</c:v>
                </c:pt>
                <c:pt idx="45">
                  <c:v>CSAH 1 (Pioneer Trail) at Mitchell Rd</c:v>
                </c:pt>
                <c:pt idx="46">
                  <c:v>CSAH 144 (141st Ave N) at Rogers High School W Entr</c:v>
                </c:pt>
                <c:pt idx="47">
                  <c:v>CSAH 73 (Hopkins Crossroad) at Minnetonka Mills Rd / 5th St N</c:v>
                </c:pt>
                <c:pt idx="48">
                  <c:v>CSAH 10 (Bass Lake Rd) at Sherburne Ave</c:v>
                </c:pt>
                <c:pt idx="49">
                  <c:v>CSAH 10 (Bass Lake Rd) at Regent Ave</c:v>
                </c:pt>
                <c:pt idx="50">
                  <c:v>CSAH 1 (Pioneer Trail) at Mitchell Rd</c:v>
                </c:pt>
                <c:pt idx="51">
                  <c:v>CSAH 1 (Old Shakopee Rd) at Xerxes Ave S</c:v>
                </c:pt>
                <c:pt idx="52">
                  <c:v>CSAH 1 (Pioneer Trail) at CSAH 61 (Flying Cloud Dr)</c:v>
                </c:pt>
                <c:pt idx="53">
                  <c:v>CSAH 1 (Old Shakopee Rd) at CSAH 34 (Normandale Blvd)</c:v>
                </c:pt>
                <c:pt idx="54">
                  <c:v>CSAH 152 (Brooklyn Blvd) at 73rd Ave N / Regent Ave</c:v>
                </c:pt>
                <c:pt idx="55">
                  <c:v>CSAH 136 (Silver Lake Rd) at 33rd Ave NE</c:v>
                </c:pt>
                <c:pt idx="56">
                  <c:v>CSAH 10 (Bass Lake Rd) at Nathan Ln</c:v>
                </c:pt>
                <c:pt idx="57">
                  <c:v>CSAH 5 (Minnetonka Blvd) at CSAH 16 (McGinty Rd W)</c:v>
                </c:pt>
                <c:pt idx="58">
                  <c:v>CSAH 19 (Manitou Rd) at Smithtown Rd</c:v>
                </c:pt>
                <c:pt idx="59">
                  <c:v>CSAH 17 (France Ave) at 65th St W</c:v>
                </c:pt>
                <c:pt idx="60">
                  <c:v>CSAH 130 (West Broadway) at 76th Ave N</c:v>
                </c:pt>
                <c:pt idx="61">
                  <c:v>CSAH 81 (Main St) at John Milless Dr / Industrial Blvd</c:v>
                </c:pt>
                <c:pt idx="62">
                  <c:v>CSAH 1 (Old Shakopee Rd) at CSAH 17 (France Ave)</c:v>
                </c:pt>
                <c:pt idx="63">
                  <c:v>CSAH 10 (Bass Lake Rd) at Zachary Ln BACKHAUL</c:v>
                </c:pt>
                <c:pt idx="64">
                  <c:v>CSAH 5 (Minnetonka Blvd) at CSAH 61 W Jct (Plymouth Rd)</c:v>
                </c:pt>
                <c:pt idx="65">
                  <c:v>CSAH 1 (Pioneer Trail) at CSAH 4  (Eden Prairie Rd)</c:v>
                </c:pt>
                <c:pt idx="66">
                  <c:v>CSAH 1 (Pioneer Trail) at Dell Rd</c:v>
                </c:pt>
                <c:pt idx="67">
                  <c:v>CSAH 10 (Bass Lake Rd) at Vicksburg Ln</c:v>
                </c:pt>
                <c:pt idx="68">
                  <c:v>CSAH 1 (Pioneer Trail) at Staring Lake Parkway</c:v>
                </c:pt>
                <c:pt idx="69">
                  <c:v>CSAH 88 (New Brighton Blvd) at CSAH 94 (29th Ave NE)</c:v>
                </c:pt>
                <c:pt idx="70">
                  <c:v>CSAH 9 (Rockford Rd) at Larch Ln BACKHAUL</c:v>
                </c:pt>
                <c:pt idx="71">
                  <c:v>CSAH 121 (Maple Grove Pkwy) at Hospital Dr</c:v>
                </c:pt>
                <c:pt idx="72">
                  <c:v>CSAH 152 (Brooklyn Blvd) at 55th Ave N</c:v>
                </c:pt>
                <c:pt idx="73">
                  <c:v>CSAH 28 (E Bush Lake Rd) at 78th St W </c:v>
                </c:pt>
                <c:pt idx="74">
                  <c:v>CSAH 101 (Central Ave) at 14th Ave N - Master Controller</c:v>
                </c:pt>
                <c:pt idx="75">
                  <c:v>CSAH 1 (Pioneer Trail) at Bennett Place</c:v>
                </c:pt>
                <c:pt idx="76">
                  <c:v>CSAH 10 (County Road 10) at CSAH 116 (Fletcher Ln)</c:v>
                </c:pt>
                <c:pt idx="77">
                  <c:v>CSAH 152 (Brooklyn Blvd) at 63rd Ave N</c:v>
                </c:pt>
                <c:pt idx="78">
                  <c:v>CSAH 152 (Brooklyn Blvd) at Cub Foods Driveway</c:v>
                </c:pt>
                <c:pt idx="79">
                  <c:v>CSAH 101 (County Rd 101) at Hutchins Dr</c:v>
                </c:pt>
                <c:pt idx="80">
                  <c:v>CSAH 121 (Maple Grove Pkwy) at 99th Ave / Grove Cir</c:v>
                </c:pt>
                <c:pt idx="81">
                  <c:v>CSAH 73 (Hopkins Crossroad) at Wayzata Blvd / North Frontage Road</c:v>
                </c:pt>
                <c:pt idx="82">
                  <c:v>CSAH 10 (Bass Lake Rd) at CSAH 152 (Brooklyn Blvd) - Master Controller</c:v>
                </c:pt>
                <c:pt idx="83">
                  <c:v>CSAH 152 (Brooklyn Blvd) at Unity Ave N</c:v>
                </c:pt>
                <c:pt idx="84">
                  <c:v>CSAH 1 (Old Shakopee Rd) at Nesbitt Ave</c:v>
                </c:pt>
                <c:pt idx="85">
                  <c:v>CSAH 10 (Bass Lake Rd) at Sycamore Ln / Prudential Bldg - Master Controller</c:v>
                </c:pt>
                <c:pt idx="86">
                  <c:v>CSAH 61 (Flying Cloud Dr) at Singletree Ln</c:v>
                </c:pt>
                <c:pt idx="87">
                  <c:v>CSAH 152 (Brooklyn Blvd) at Noble Ave / 71st Ave</c:v>
                </c:pt>
                <c:pt idx="88">
                  <c:v>CSAH 61 (Flying Cloud Dr) at Regional Center Rd</c:v>
                </c:pt>
                <c:pt idx="89">
                  <c:v>CSAH 109 (85th Ave N) at Edinbrook Pkwy N</c:v>
                </c:pt>
                <c:pt idx="90">
                  <c:v>CSAH 88 (New Brighton Blvd) at St Anthony Blvd</c:v>
                </c:pt>
                <c:pt idx="91">
                  <c:v>CSAH 1 (Pioneer Trail) at Homeward Hills Rd</c:v>
                </c:pt>
                <c:pt idx="92">
                  <c:v>CSAH 152 (Brooklyn Blvd) at 65th Ave N</c:v>
                </c:pt>
                <c:pt idx="93">
                  <c:v>CSAH 152 (Brooklyn Blvd / Osseo Rd) at 49th Ave N BACKHAUL</c:v>
                </c:pt>
                <c:pt idx="94">
                  <c:v>CSAH 30 (93rd Ave) at CSAH 121 (Maple Grove Pkwy)</c:v>
                </c:pt>
              </c:strCache>
            </c:strRef>
          </c:cat>
          <c:val>
            <c:numRef>
              <c:f>Data!$J$2:$J$96</c:f>
              <c:numCache>
                <c:formatCode>0.00</c:formatCode>
                <c:ptCount val="95"/>
                <c:pt idx="0">
                  <c:v>8.31858077074772</c:v>
                </c:pt>
                <c:pt idx="1">
                  <c:v>7.46838831571677</c:v>
                </c:pt>
                <c:pt idx="2">
                  <c:v>6.14645180399796</c:v>
                </c:pt>
                <c:pt idx="3">
                  <c:v>5.43627378134125</c:v>
                </c:pt>
                <c:pt idx="4">
                  <c:v>4.77849645358916</c:v>
                </c:pt>
                <c:pt idx="5">
                  <c:v>4.2574492511214</c:v>
                </c:pt>
                <c:pt idx="6">
                  <c:v>3.78872410974286</c:v>
                </c:pt>
                <c:pt idx="7">
                  <c:v>3.23443016025056</c:v>
                </c:pt>
                <c:pt idx="8">
                  <c:v>2.64382502663663</c:v>
                </c:pt>
                <c:pt idx="9">
                  <c:v>2.59272486435067</c:v>
                </c:pt>
                <c:pt idx="10">
                  <c:v>2.52838866567484</c:v>
                </c:pt>
                <c:pt idx="11">
                  <c:v>2.40757288272416</c:v>
                </c:pt>
                <c:pt idx="12">
                  <c:v>2.3441951748178</c:v>
                </c:pt>
                <c:pt idx="13">
                  <c:v>2.30577165273859</c:v>
                </c:pt>
                <c:pt idx="14">
                  <c:v>2.22911285030141</c:v>
                </c:pt>
                <c:pt idx="15">
                  <c:v>2.12767346164481</c:v>
                </c:pt>
                <c:pt idx="16">
                  <c:v>2.06764225838768</c:v>
                </c:pt>
                <c:pt idx="17">
                  <c:v>1.96773982019981</c:v>
                </c:pt>
                <c:pt idx="18">
                  <c:v>1.9597274201944</c:v>
                </c:pt>
                <c:pt idx="19">
                  <c:v>1.81735368792663</c:v>
                </c:pt>
                <c:pt idx="20">
                  <c:v>1.62937633978071</c:v>
                </c:pt>
                <c:pt idx="21">
                  <c:v>1.56743509973401</c:v>
                </c:pt>
                <c:pt idx="22">
                  <c:v>1.47209923818884</c:v>
                </c:pt>
                <c:pt idx="23">
                  <c:v>0.992277876713668</c:v>
                </c:pt>
                <c:pt idx="24">
                  <c:v>0.920357986616845</c:v>
                </c:pt>
                <c:pt idx="25">
                  <c:v>0.918091917010383</c:v>
                </c:pt>
                <c:pt idx="26">
                  <c:v>0.905357460425185</c:v>
                </c:pt>
                <c:pt idx="27">
                  <c:v>0.876226290320224</c:v>
                </c:pt>
                <c:pt idx="28">
                  <c:v>0.821032707948284</c:v>
                </c:pt>
                <c:pt idx="29">
                  <c:v>0.809831191215541</c:v>
                </c:pt>
                <c:pt idx="30">
                  <c:v>0.795146567945891</c:v>
                </c:pt>
                <c:pt idx="31">
                  <c:v>0.690522405178123</c:v>
                </c:pt>
                <c:pt idx="32">
                  <c:v>0.628539361054709</c:v>
                </c:pt>
                <c:pt idx="33">
                  <c:v>0.583997116070745</c:v>
                </c:pt>
                <c:pt idx="34">
                  <c:v>0.556890098923011</c:v>
                </c:pt>
                <c:pt idx="35">
                  <c:v>0.549250377927618</c:v>
                </c:pt>
                <c:pt idx="36">
                  <c:v>0.536056267418897</c:v>
                </c:pt>
                <c:pt idx="37">
                  <c:v>0.471404520791032</c:v>
                </c:pt>
                <c:pt idx="38">
                  <c:v>0.451753951452626</c:v>
                </c:pt>
                <c:pt idx="39">
                  <c:v>0.436821154304661</c:v>
                </c:pt>
                <c:pt idx="40">
                  <c:v>0.314658387763776</c:v>
                </c:pt>
                <c:pt idx="41">
                  <c:v>0.309015721574763</c:v>
                </c:pt>
                <c:pt idx="42">
                  <c:v>0.308606699924184</c:v>
                </c:pt>
                <c:pt idx="43">
                  <c:v>0.302275633115927</c:v>
                </c:pt>
                <c:pt idx="44">
                  <c:v>0.188051742242167</c:v>
                </c:pt>
                <c:pt idx="45">
                  <c:v>0.182069138710321</c:v>
                </c:pt>
                <c:pt idx="46">
                  <c:v>0.159111456835146</c:v>
                </c:pt>
                <c:pt idx="47">
                  <c:v>0.0610278197697353</c:v>
                </c:pt>
                <c:pt idx="48">
                  <c:v>11.118743282829</c:v>
                </c:pt>
                <c:pt idx="49">
                  <c:v>10.9822522949918</c:v>
                </c:pt>
                <c:pt idx="50">
                  <c:v>5.88348405414552</c:v>
                </c:pt>
                <c:pt idx="51">
                  <c:v>5.56263041580664</c:v>
                </c:pt>
                <c:pt idx="52">
                  <c:v>5.005564831995</c:v>
                </c:pt>
                <c:pt idx="53">
                  <c:v>4.17051421943256</c:v>
                </c:pt>
                <c:pt idx="54">
                  <c:v>3.01701213201479</c:v>
                </c:pt>
                <c:pt idx="55">
                  <c:v>2.96245158660611</c:v>
                </c:pt>
                <c:pt idx="56">
                  <c:v>2.17365950422944</c:v>
                </c:pt>
                <c:pt idx="57">
                  <c:v>1.93564128740728</c:v>
                </c:pt>
                <c:pt idx="58">
                  <c:v>1.71812836118323</c:v>
                </c:pt>
                <c:pt idx="59">
                  <c:v>1.49853729853071</c:v>
                </c:pt>
                <c:pt idx="60">
                  <c:v>1.48741029327182</c:v>
                </c:pt>
                <c:pt idx="61">
                  <c:v>1.36788951248889</c:v>
                </c:pt>
                <c:pt idx="62">
                  <c:v>1.33837196450667</c:v>
                </c:pt>
                <c:pt idx="63">
                  <c:v>1.31558702896054</c:v>
                </c:pt>
                <c:pt idx="64">
                  <c:v>1.06956480476656</c:v>
                </c:pt>
                <c:pt idx="65">
                  <c:v>1.06093420877491</c:v>
                </c:pt>
                <c:pt idx="66">
                  <c:v>1.04643328713989</c:v>
                </c:pt>
                <c:pt idx="67">
                  <c:v>1.03237080241753</c:v>
                </c:pt>
                <c:pt idx="68">
                  <c:v>0.9114654303753</c:v>
                </c:pt>
                <c:pt idx="69">
                  <c:v>0.769378943023837</c:v>
                </c:pt>
                <c:pt idx="70">
                  <c:v>0.738811354463376</c:v>
                </c:pt>
                <c:pt idx="71">
                  <c:v>0.657595949221429</c:v>
                </c:pt>
                <c:pt idx="72">
                  <c:v>0.618115099963687</c:v>
                </c:pt>
                <c:pt idx="73">
                  <c:v>0.59850560166458</c:v>
                </c:pt>
                <c:pt idx="74">
                  <c:v>0.590604105551531</c:v>
                </c:pt>
                <c:pt idx="75">
                  <c:v>0.549250377927618</c:v>
                </c:pt>
                <c:pt idx="76">
                  <c:v>0.483621975097427</c:v>
                </c:pt>
                <c:pt idx="77">
                  <c:v>0.456025132744326</c:v>
                </c:pt>
                <c:pt idx="78">
                  <c:v>0.455960752587553</c:v>
                </c:pt>
                <c:pt idx="79">
                  <c:v>0.443242207177936</c:v>
                </c:pt>
                <c:pt idx="80">
                  <c:v>0.374188837466729</c:v>
                </c:pt>
                <c:pt idx="81">
                  <c:v>0.288009216442392</c:v>
                </c:pt>
                <c:pt idx="82">
                  <c:v>0.255654996282457</c:v>
                </c:pt>
                <c:pt idx="83">
                  <c:v>0.240423518417173</c:v>
                </c:pt>
                <c:pt idx="84">
                  <c:v>0.231001716349129</c:v>
                </c:pt>
                <c:pt idx="85">
                  <c:v>0.22979399584857</c:v>
                </c:pt>
                <c:pt idx="86">
                  <c:v>0.204379779828322</c:v>
                </c:pt>
                <c:pt idx="87">
                  <c:v>0.199007438041998</c:v>
                </c:pt>
                <c:pt idx="88">
                  <c:v>0.144757032196014</c:v>
                </c:pt>
                <c:pt idx="89">
                  <c:v>0.138013111868471</c:v>
                </c:pt>
                <c:pt idx="90">
                  <c:v>0.0964485644340824</c:v>
                </c:pt>
                <c:pt idx="91">
                  <c:v>0.0670401523153991</c:v>
                </c:pt>
                <c:pt idx="92">
                  <c:v>0.040144782295185</c:v>
                </c:pt>
                <c:pt idx="93">
                  <c:v>0</c:v>
                </c:pt>
                <c:pt idx="94">
                  <c:v>0</c:v>
                </c:pt>
              </c:numCache>
            </c:numRef>
          </c:val>
        </c:ser>
        <c:gapWidth val="150"/>
        <c:overlap val="0"/>
        <c:axId val="56742354"/>
        <c:axId val="48670905"/>
      </c:barChart>
      <c:catAx>
        <c:axId val="56742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70905"/>
        <c:crosses val="autoZero"/>
        <c:auto val="1"/>
        <c:lblAlgn val="ctr"/>
        <c:lblOffset val="100"/>
        <c:noMultiLvlLbl val="0"/>
      </c:catAx>
      <c:valAx>
        <c:axId val="486709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GEH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7423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175680</xdr:rowOff>
    </xdr:from>
    <xdr:to>
      <xdr:col>23</xdr:col>
      <xdr:colOff>561240</xdr:colOff>
      <xdr:row>18</xdr:row>
      <xdr:rowOff>24480</xdr:rowOff>
    </xdr:to>
    <xdr:graphicFrame>
      <xdr:nvGraphicFramePr>
        <xdr:cNvPr id="0" name="Chart 1"/>
        <xdr:cNvGraphicFramePr/>
      </xdr:nvGraphicFramePr>
      <xdr:xfrm>
        <a:off x="10127160" y="733320"/>
        <a:ext cx="1217952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3152160</xdr:colOff>
      <xdr:row>22</xdr:row>
      <xdr:rowOff>32760</xdr:rowOff>
    </xdr:from>
    <xdr:to>
      <xdr:col>25</xdr:col>
      <xdr:colOff>78840</xdr:colOff>
      <xdr:row>56</xdr:row>
      <xdr:rowOff>28800</xdr:rowOff>
    </xdr:to>
    <xdr:graphicFrame>
      <xdr:nvGraphicFramePr>
        <xdr:cNvPr id="1" name="Chart 2"/>
        <xdr:cNvGraphicFramePr/>
      </xdr:nvGraphicFramePr>
      <xdr:xfrm>
        <a:off x="9495720" y="4743360"/>
        <a:ext cx="13551840" cy="647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512280</xdr:colOff>
      <xdr:row>59</xdr:row>
      <xdr:rowOff>175320</xdr:rowOff>
    </xdr:from>
    <xdr:to>
      <xdr:col>20</xdr:col>
      <xdr:colOff>551160</xdr:colOff>
      <xdr:row>76</xdr:row>
      <xdr:rowOff>176400</xdr:rowOff>
    </xdr:to>
    <xdr:graphicFrame>
      <xdr:nvGraphicFramePr>
        <xdr:cNvPr id="2" name="Chart 3"/>
        <xdr:cNvGraphicFramePr/>
      </xdr:nvGraphicFramePr>
      <xdr:xfrm>
        <a:off x="16142760" y="1193436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62</xdr:row>
      <xdr:rowOff>176040</xdr:rowOff>
    </xdr:from>
    <xdr:to>
      <xdr:col>11</xdr:col>
      <xdr:colOff>39240</xdr:colOff>
      <xdr:row>79</xdr:row>
      <xdr:rowOff>177120</xdr:rowOff>
    </xdr:to>
    <xdr:graphicFrame>
      <xdr:nvGraphicFramePr>
        <xdr:cNvPr id="3" name="Chart 4"/>
        <xdr:cNvGraphicFramePr/>
      </xdr:nvGraphicFramePr>
      <xdr:xfrm>
        <a:off x="10127160" y="12506400"/>
        <a:ext cx="43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256320</xdr:colOff>
      <xdr:row>20</xdr:row>
      <xdr:rowOff>1080</xdr:rowOff>
    </xdr:to>
    <xdr:graphicFrame>
      <xdr:nvGraphicFramePr>
        <xdr:cNvPr id="4" name="Chart 1"/>
        <xdr:cNvGraphicFramePr/>
      </xdr:nvGraphicFramePr>
      <xdr:xfrm>
        <a:off x="1647072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16</xdr:col>
      <xdr:colOff>295560</xdr:colOff>
      <xdr:row>19</xdr:row>
      <xdr:rowOff>1440</xdr:rowOff>
    </xdr:to>
    <xdr:graphicFrame>
      <xdr:nvGraphicFramePr>
        <xdr:cNvPr id="5" name="Chart 1"/>
        <xdr:cNvGraphicFramePr/>
      </xdr:nvGraphicFramePr>
      <xdr:xfrm>
        <a:off x="0" y="571680"/>
        <a:ext cx="100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MC_Data" displayName="TMC_Data" ref="A1:K96" headerRowCount="1" totalsRowCount="0" totalsRowShown="0">
  <autoFilter ref="A1:K96"/>
  <tableColumns count="11">
    <tableColumn id="1" name="Round"/>
    <tableColumn id="2" name="ID"/>
    <tableColumn id="3" name="Intersection"/>
    <tableColumn id="4" name="Date"/>
    <tableColumn id="5" name="Time of Day"/>
    <tableColumn id="6" name="Manual_Total"/>
    <tableColumn id="7" name="Vision_Total"/>
    <tableColumn id="8" name="Pct_Diff"/>
    <tableColumn id="9" name="Abs_Pct_Diff"/>
    <tableColumn id="10" name="GEH_15min"/>
    <tableColumn id="11" name="GEH_Hourly_Equiv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fals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84" hidden="false" customHeight="true" outlineLevel="0" collapsed="false">
      <c r="A4" s="3" t="s">
        <v>2</v>
      </c>
    </row>
    <row r="6" customFormat="false" ht="15" hidden="false" customHeight="false" outlineLevel="0" collapsed="false">
      <c r="A6" s="2" t="s">
        <v>3</v>
      </c>
    </row>
    <row r="7" customFormat="false" ht="69.75" hidden="false" customHeight="true" outlineLevel="0" collapsed="false">
      <c r="A7" s="3" t="s">
        <v>4</v>
      </c>
    </row>
    <row r="9" customFormat="false" ht="15" hidden="false" customHeight="false" outlineLevel="0" collapsed="false">
      <c r="A9" s="2" t="s">
        <v>5</v>
      </c>
    </row>
    <row r="10" customFormat="false" ht="84" hidden="false" customHeight="true" outlineLevel="0" collapsed="false">
      <c r="A10" s="3" t="s">
        <v>6</v>
      </c>
    </row>
    <row r="12" customFormat="false" ht="15" hidden="false" customHeight="false" outlineLevel="0" collapsed="false">
      <c r="A12" s="2" t="s">
        <v>7</v>
      </c>
    </row>
    <row r="13" customFormat="false" ht="55.5" hidden="false" customHeight="true" outlineLevel="0" collapsed="false">
      <c r="A13" s="3" t="s">
        <v>8</v>
      </c>
    </row>
    <row r="15" customFormat="false" ht="15" hidden="false" customHeight="false" outlineLevel="0" collapsed="false">
      <c r="A15" s="2" t="s">
        <v>9</v>
      </c>
    </row>
    <row r="16" customFormat="false" ht="55.5" hidden="false" customHeight="true" outlineLevel="0" collapsed="false">
      <c r="A16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" activeCellId="0" sqref="J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0"/>
    <col collapsed="false" customWidth="true" hidden="false" outlineLevel="0" max="3" min="3" style="0" width="45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32"/>
    <col collapsed="false" customWidth="true" hidden="false" outlineLevel="0" max="11" min="11" style="0" width="18"/>
  </cols>
  <sheetData>
    <row r="1" customFormat="false" ht="15" hidden="false" customHeight="false" outlineLevel="0" collapsed="false">
      <c r="A1" s="4" t="s">
        <v>11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</row>
    <row r="2" customFormat="false" ht="15" hidden="false" customHeight="false" outlineLevel="0" collapsed="false">
      <c r="A2" s="0" t="s">
        <v>22</v>
      </c>
      <c r="B2" s="0" t="n">
        <v>8051900</v>
      </c>
      <c r="C2" s="0" t="s">
        <v>23</v>
      </c>
      <c r="D2" s="0" t="s">
        <v>24</v>
      </c>
      <c r="E2" s="0" t="s">
        <v>25</v>
      </c>
      <c r="F2" s="0" t="n">
        <v>254</v>
      </c>
      <c r="G2" s="0" t="n">
        <v>405</v>
      </c>
      <c r="H2" s="5" t="n">
        <f aca="false">(G2-F2)/F2</f>
        <v>0.594488188976378</v>
      </c>
      <c r="I2" s="5" t="n">
        <f aca="false">ABS(H2)</f>
        <v>0.594488188976378</v>
      </c>
      <c r="J2" s="6" t="n">
        <f aca="false">SQRT(2*(G2-F2)^2/(G2+F2))</f>
        <v>8.31858077074772</v>
      </c>
      <c r="K2" s="6" t="n">
        <f aca="false">J2*2</f>
        <v>16.6371615414954</v>
      </c>
    </row>
    <row r="3" customFormat="false" ht="15" hidden="false" customHeight="false" outlineLevel="0" collapsed="false">
      <c r="A3" s="0" t="s">
        <v>22</v>
      </c>
      <c r="B3" s="0" t="n">
        <v>8014800</v>
      </c>
      <c r="C3" s="0" t="s">
        <v>26</v>
      </c>
      <c r="D3" s="0" t="s">
        <v>27</v>
      </c>
      <c r="E3" s="0" t="s">
        <v>25</v>
      </c>
      <c r="F3" s="0" t="n">
        <v>176</v>
      </c>
      <c r="G3" s="0" t="n">
        <v>290</v>
      </c>
      <c r="H3" s="5" t="n">
        <f aca="false">(G3-F3)/F3</f>
        <v>0.647727272727273</v>
      </c>
      <c r="I3" s="5" t="n">
        <f aca="false">ABS(H3)</f>
        <v>0.647727272727273</v>
      </c>
      <c r="J3" s="6" t="n">
        <f aca="false">SQRT(2*(G3-F3)^2/(G3+F3))</f>
        <v>7.46838831571677</v>
      </c>
      <c r="K3" s="6" t="n">
        <f aca="false">J3*2</f>
        <v>14.9367766314335</v>
      </c>
    </row>
    <row r="4" customFormat="false" ht="15" hidden="false" customHeight="false" outlineLevel="0" collapsed="false">
      <c r="A4" s="0" t="s">
        <v>22</v>
      </c>
      <c r="B4" s="0" t="n">
        <v>8002100</v>
      </c>
      <c r="C4" s="0" t="s">
        <v>28</v>
      </c>
      <c r="D4" s="0" t="s">
        <v>29</v>
      </c>
      <c r="E4" s="0" t="s">
        <v>30</v>
      </c>
      <c r="F4" s="0" t="n">
        <v>469</v>
      </c>
      <c r="G4" s="0" t="n">
        <v>345</v>
      </c>
      <c r="H4" s="5" t="n">
        <f aca="false">(G4-F4)/F4</f>
        <v>-0.264392324093817</v>
      </c>
      <c r="I4" s="5" t="n">
        <f aca="false">ABS(H4)</f>
        <v>0.264392324093817</v>
      </c>
      <c r="J4" s="6" t="n">
        <f aca="false">SQRT(2*(G4-F4)^2/(G4+F4))</f>
        <v>6.14645180399796</v>
      </c>
      <c r="K4" s="6" t="n">
        <f aca="false">J4*2</f>
        <v>12.2929036079959</v>
      </c>
    </row>
    <row r="5" customFormat="false" ht="15" hidden="false" customHeight="false" outlineLevel="0" collapsed="false">
      <c r="A5" s="0" t="s">
        <v>22</v>
      </c>
      <c r="B5" s="0" t="n">
        <v>9010690</v>
      </c>
      <c r="C5" s="0" t="s">
        <v>31</v>
      </c>
      <c r="D5" s="0" t="s">
        <v>32</v>
      </c>
      <c r="E5" s="0" t="s">
        <v>33</v>
      </c>
      <c r="F5" s="0" t="n">
        <v>390</v>
      </c>
      <c r="G5" s="0" t="n">
        <v>505</v>
      </c>
      <c r="H5" s="5" t="n">
        <f aca="false">(G5-F5)/F5</f>
        <v>0.294871794871795</v>
      </c>
      <c r="I5" s="5" t="n">
        <f aca="false">ABS(H5)</f>
        <v>0.294871794871795</v>
      </c>
      <c r="J5" s="6" t="n">
        <f aca="false">SQRT(2*(G5-F5)^2/(G5+F5))</f>
        <v>5.43627378134125</v>
      </c>
      <c r="K5" s="6" t="n">
        <f aca="false">J5*2</f>
        <v>10.8725475626825</v>
      </c>
    </row>
    <row r="6" customFormat="false" ht="15" hidden="false" customHeight="false" outlineLevel="0" collapsed="false">
      <c r="A6" s="0" t="s">
        <v>22</v>
      </c>
      <c r="B6" s="0" t="n">
        <v>9010695</v>
      </c>
      <c r="C6" s="0" t="s">
        <v>34</v>
      </c>
      <c r="D6" s="0" t="s">
        <v>32</v>
      </c>
      <c r="E6" s="0" t="s">
        <v>35</v>
      </c>
      <c r="F6" s="0" t="n">
        <v>658</v>
      </c>
      <c r="G6" s="0" t="n">
        <v>541</v>
      </c>
      <c r="H6" s="5" t="n">
        <f aca="false">(G6-F6)/F6</f>
        <v>-0.177811550151976</v>
      </c>
      <c r="I6" s="5" t="n">
        <f aca="false">ABS(H6)</f>
        <v>0.177811550151976</v>
      </c>
      <c r="J6" s="6" t="n">
        <f aca="false">SQRT(2*(G6-F6)^2/(G6+F6))</f>
        <v>4.77849645358916</v>
      </c>
      <c r="K6" s="6" t="n">
        <f aca="false">J6*2</f>
        <v>9.55699290717831</v>
      </c>
    </row>
    <row r="7" customFormat="false" ht="15" hidden="false" customHeight="false" outlineLevel="0" collapsed="false">
      <c r="A7" s="0" t="s">
        <v>22</v>
      </c>
      <c r="B7" s="0" t="n">
        <v>8061200</v>
      </c>
      <c r="C7" s="0" t="s">
        <v>36</v>
      </c>
      <c r="D7" s="0" t="s">
        <v>37</v>
      </c>
      <c r="E7" s="0" t="s">
        <v>38</v>
      </c>
      <c r="F7" s="0" t="n">
        <v>322</v>
      </c>
      <c r="G7" s="0" t="n">
        <v>250</v>
      </c>
      <c r="H7" s="5" t="n">
        <f aca="false">(G7-F7)/F7</f>
        <v>-0.22360248447205</v>
      </c>
      <c r="I7" s="5" t="n">
        <f aca="false">ABS(H7)</f>
        <v>0.22360248447205</v>
      </c>
      <c r="J7" s="6" t="n">
        <f aca="false">SQRT(2*(G7-F7)^2/(G7+F7))</f>
        <v>4.2574492511214</v>
      </c>
      <c r="K7" s="6" t="n">
        <f aca="false">J7*2</f>
        <v>8.51489850224279</v>
      </c>
    </row>
    <row r="8" customFormat="false" ht="15" hidden="false" customHeight="false" outlineLevel="0" collapsed="false">
      <c r="A8" s="0" t="s">
        <v>22</v>
      </c>
      <c r="B8" s="0" t="n">
        <v>8037400</v>
      </c>
      <c r="C8" s="0" t="s">
        <v>39</v>
      </c>
      <c r="D8" s="0" t="s">
        <v>40</v>
      </c>
      <c r="E8" s="0" t="s">
        <v>25</v>
      </c>
      <c r="F8" s="0" t="n">
        <v>308</v>
      </c>
      <c r="G8" s="0" t="n">
        <v>245</v>
      </c>
      <c r="H8" s="5" t="n">
        <f aca="false">(G8-F8)/F8</f>
        <v>-0.204545454545455</v>
      </c>
      <c r="I8" s="5" t="n">
        <f aca="false">ABS(H8)</f>
        <v>0.204545454545455</v>
      </c>
      <c r="J8" s="6" t="n">
        <f aca="false">SQRT(2*(G8-F8)^2/(G8+F8))</f>
        <v>3.78872410974286</v>
      </c>
      <c r="K8" s="6" t="n">
        <f aca="false">J8*2</f>
        <v>7.57744821948572</v>
      </c>
    </row>
    <row r="9" customFormat="false" ht="15" hidden="false" customHeight="false" outlineLevel="0" collapsed="false">
      <c r="A9" s="0" t="s">
        <v>22</v>
      </c>
      <c r="B9" s="0" t="n">
        <v>8026100</v>
      </c>
      <c r="C9" s="0" t="s">
        <v>41</v>
      </c>
      <c r="D9" s="0" t="s">
        <v>42</v>
      </c>
      <c r="E9" s="0" t="s">
        <v>43</v>
      </c>
      <c r="F9" s="0" t="n">
        <v>476</v>
      </c>
      <c r="G9" s="0" t="n">
        <v>408</v>
      </c>
      <c r="H9" s="5" t="n">
        <f aca="false">(G9-F9)/F9</f>
        <v>-0.142857142857143</v>
      </c>
      <c r="I9" s="5" t="n">
        <f aca="false">ABS(H9)</f>
        <v>0.142857142857143</v>
      </c>
      <c r="J9" s="6" t="n">
        <f aca="false">SQRT(2*(G9-F9)^2/(G9+F9))</f>
        <v>3.23443016025056</v>
      </c>
      <c r="K9" s="6" t="n">
        <f aca="false">J9*2</f>
        <v>6.46886032050112</v>
      </c>
    </row>
    <row r="10" customFormat="false" ht="15" hidden="false" customHeight="false" outlineLevel="0" collapsed="false">
      <c r="A10" s="0" t="s">
        <v>22</v>
      </c>
      <c r="B10" s="0" t="n">
        <v>8054100</v>
      </c>
      <c r="C10" s="0" t="s">
        <v>44</v>
      </c>
      <c r="D10" s="0" t="s">
        <v>45</v>
      </c>
      <c r="E10" s="0" t="s">
        <v>46</v>
      </c>
      <c r="F10" s="0" t="n">
        <v>368</v>
      </c>
      <c r="G10" s="0" t="n">
        <v>319</v>
      </c>
      <c r="H10" s="5" t="n">
        <f aca="false">(G10-F10)/F10</f>
        <v>-0.133152173913044</v>
      </c>
      <c r="I10" s="5" t="n">
        <f aca="false">ABS(H10)</f>
        <v>0.133152173913044</v>
      </c>
      <c r="J10" s="6" t="n">
        <f aca="false">SQRT(2*(G10-F10)^2/(G10+F10))</f>
        <v>2.64382502663663</v>
      </c>
      <c r="K10" s="6" t="n">
        <f aca="false">J10*2</f>
        <v>5.28765005327325</v>
      </c>
    </row>
    <row r="11" customFormat="false" ht="15" hidden="false" customHeight="false" outlineLevel="0" collapsed="false">
      <c r="A11" s="0" t="s">
        <v>22</v>
      </c>
      <c r="B11" s="0" t="n">
        <v>8057895</v>
      </c>
      <c r="C11" s="0" t="s">
        <v>47</v>
      </c>
      <c r="D11" s="0" t="s">
        <v>48</v>
      </c>
      <c r="E11" s="0" t="s">
        <v>49</v>
      </c>
      <c r="F11" s="0" t="n">
        <v>310</v>
      </c>
      <c r="G11" s="0" t="n">
        <v>266</v>
      </c>
      <c r="H11" s="5" t="n">
        <f aca="false">(G11-F11)/F11</f>
        <v>-0.141935483870968</v>
      </c>
      <c r="I11" s="5" t="n">
        <f aca="false">ABS(H11)</f>
        <v>0.141935483870968</v>
      </c>
      <c r="J11" s="6" t="n">
        <f aca="false">SQRT(2*(G11-F11)^2/(G11+F11))</f>
        <v>2.59272486435067</v>
      </c>
      <c r="K11" s="6" t="n">
        <f aca="false">J11*2</f>
        <v>5.18544972870135</v>
      </c>
    </row>
    <row r="12" customFormat="false" ht="15" hidden="false" customHeight="false" outlineLevel="0" collapsed="false">
      <c r="A12" s="0" t="s">
        <v>22</v>
      </c>
      <c r="B12" s="0" t="n">
        <v>8045400</v>
      </c>
      <c r="C12" s="0" t="s">
        <v>50</v>
      </c>
      <c r="D12" s="0" t="s">
        <v>51</v>
      </c>
      <c r="E12" s="0" t="s">
        <v>52</v>
      </c>
      <c r="F12" s="0" t="n">
        <v>308</v>
      </c>
      <c r="G12" s="0" t="n">
        <v>354</v>
      </c>
      <c r="H12" s="5" t="n">
        <f aca="false">(G12-F12)/F12</f>
        <v>0.149350649350649</v>
      </c>
      <c r="I12" s="5" t="n">
        <f aca="false">ABS(H12)</f>
        <v>0.149350649350649</v>
      </c>
      <c r="J12" s="6" t="n">
        <f aca="false">SQRT(2*(G12-F12)^2/(G12+F12))</f>
        <v>2.52838866567484</v>
      </c>
      <c r="K12" s="6" t="n">
        <f aca="false">J12*2</f>
        <v>5.05677733134968</v>
      </c>
    </row>
    <row r="13" customFormat="false" ht="15" hidden="false" customHeight="false" outlineLevel="0" collapsed="false">
      <c r="A13" s="0" t="s">
        <v>22</v>
      </c>
      <c r="B13" s="0" t="n">
        <v>8054900</v>
      </c>
      <c r="C13" s="0" t="s">
        <v>53</v>
      </c>
      <c r="D13" s="0" t="s">
        <v>54</v>
      </c>
      <c r="E13" s="0" t="s">
        <v>55</v>
      </c>
      <c r="F13" s="0" t="n">
        <v>356</v>
      </c>
      <c r="G13" s="0" t="n">
        <v>312</v>
      </c>
      <c r="H13" s="5" t="n">
        <f aca="false">(G13-F13)/F13</f>
        <v>-0.123595505617978</v>
      </c>
      <c r="I13" s="5" t="n">
        <f aca="false">ABS(H13)</f>
        <v>0.123595505617978</v>
      </c>
      <c r="J13" s="6" t="n">
        <f aca="false">SQRT(2*(G13-F13)^2/(G13+F13))</f>
        <v>2.40757288272416</v>
      </c>
      <c r="K13" s="6" t="n">
        <f aca="false">J13*2</f>
        <v>4.81514576544833</v>
      </c>
    </row>
    <row r="14" customFormat="false" ht="15" hidden="false" customHeight="false" outlineLevel="0" collapsed="false">
      <c r="A14" s="0" t="s">
        <v>22</v>
      </c>
      <c r="B14" s="0" t="n">
        <v>8058010</v>
      </c>
      <c r="C14" s="0" t="s">
        <v>56</v>
      </c>
      <c r="D14" s="0" t="s">
        <v>57</v>
      </c>
      <c r="E14" s="0" t="s">
        <v>49</v>
      </c>
      <c r="F14" s="0" t="n">
        <v>391</v>
      </c>
      <c r="G14" s="0" t="n">
        <v>346</v>
      </c>
      <c r="H14" s="5" t="n">
        <f aca="false">(G14-F14)/F14</f>
        <v>-0.115089514066496</v>
      </c>
      <c r="I14" s="5" t="n">
        <f aca="false">ABS(H14)</f>
        <v>0.115089514066496</v>
      </c>
      <c r="J14" s="6" t="n">
        <f aca="false">SQRT(2*(G14-F14)^2/(G14+F14))</f>
        <v>2.3441951748178</v>
      </c>
      <c r="K14" s="6" t="n">
        <f aca="false">J14*2</f>
        <v>4.68839034963561</v>
      </c>
    </row>
    <row r="15" customFormat="false" ht="15" hidden="false" customHeight="false" outlineLevel="0" collapsed="false">
      <c r="A15" s="0" t="s">
        <v>22</v>
      </c>
      <c r="B15" s="0" t="n">
        <v>8037100</v>
      </c>
      <c r="C15" s="0" t="s">
        <v>58</v>
      </c>
      <c r="D15" s="0" t="s">
        <v>59</v>
      </c>
      <c r="E15" s="0" t="s">
        <v>49</v>
      </c>
      <c r="F15" s="0" t="n">
        <v>421</v>
      </c>
      <c r="G15" s="0" t="n">
        <v>375</v>
      </c>
      <c r="H15" s="5" t="n">
        <f aca="false">(G15-F15)/F15</f>
        <v>-0.109263657957245</v>
      </c>
      <c r="I15" s="5" t="n">
        <f aca="false">ABS(H15)</f>
        <v>0.109263657957245</v>
      </c>
      <c r="J15" s="6" t="n">
        <f aca="false">SQRT(2*(G15-F15)^2/(G15+F15))</f>
        <v>2.30577165273859</v>
      </c>
      <c r="K15" s="6" t="n">
        <f aca="false">J15*2</f>
        <v>4.61154330547719</v>
      </c>
    </row>
    <row r="16" customFormat="false" ht="15" hidden="false" customHeight="false" outlineLevel="0" collapsed="false">
      <c r="A16" s="0" t="s">
        <v>22</v>
      </c>
      <c r="B16" s="0" t="n">
        <v>9010660</v>
      </c>
      <c r="C16" s="0" t="s">
        <v>60</v>
      </c>
      <c r="D16" s="0" t="s">
        <v>61</v>
      </c>
      <c r="E16" s="0" t="s">
        <v>52</v>
      </c>
      <c r="F16" s="0" t="n">
        <v>342</v>
      </c>
      <c r="G16" s="0" t="n">
        <v>302</v>
      </c>
      <c r="H16" s="5" t="n">
        <f aca="false">(G16-F16)/F16</f>
        <v>-0.116959064327485</v>
      </c>
      <c r="I16" s="5" t="n">
        <f aca="false">ABS(H16)</f>
        <v>0.116959064327485</v>
      </c>
      <c r="J16" s="6" t="n">
        <f aca="false">SQRT(2*(G16-F16)^2/(G16+F16))</f>
        <v>2.22911285030141</v>
      </c>
      <c r="K16" s="6" t="n">
        <f aca="false">J16*2</f>
        <v>4.45822570060282</v>
      </c>
    </row>
    <row r="17" customFormat="false" ht="15" hidden="false" customHeight="false" outlineLevel="0" collapsed="false">
      <c r="A17" s="0" t="s">
        <v>22</v>
      </c>
      <c r="B17" s="0" t="n">
        <v>8027600</v>
      </c>
      <c r="C17" s="0" t="s">
        <v>62</v>
      </c>
      <c r="D17" s="0" t="s">
        <v>63</v>
      </c>
      <c r="E17" s="0" t="s">
        <v>25</v>
      </c>
      <c r="F17" s="0" t="n">
        <v>647</v>
      </c>
      <c r="G17" s="0" t="n">
        <v>594</v>
      </c>
      <c r="H17" s="5" t="n">
        <f aca="false">(G17-F17)/F17</f>
        <v>-0.0819165378670788</v>
      </c>
      <c r="I17" s="5" t="n">
        <f aca="false">ABS(H17)</f>
        <v>0.0819165378670788</v>
      </c>
      <c r="J17" s="6" t="n">
        <f aca="false">SQRT(2*(G17-F17)^2/(G17+F17))</f>
        <v>2.12767346164481</v>
      </c>
      <c r="K17" s="6" t="n">
        <f aca="false">J17*2</f>
        <v>4.25534692328961</v>
      </c>
    </row>
    <row r="18" customFormat="false" ht="15" hidden="false" customHeight="false" outlineLevel="0" collapsed="false">
      <c r="A18" s="0" t="s">
        <v>22</v>
      </c>
      <c r="B18" s="0" t="n">
        <v>8057890</v>
      </c>
      <c r="C18" s="0" t="s">
        <v>64</v>
      </c>
      <c r="D18" s="0" t="s">
        <v>65</v>
      </c>
      <c r="E18" s="0" t="s">
        <v>55</v>
      </c>
      <c r="F18" s="0" t="n">
        <v>454</v>
      </c>
      <c r="G18" s="0" t="n">
        <v>411</v>
      </c>
      <c r="H18" s="5" t="n">
        <f aca="false">(G18-F18)/F18</f>
        <v>-0.0947136563876652</v>
      </c>
      <c r="I18" s="5" t="n">
        <f aca="false">ABS(H18)</f>
        <v>0.0947136563876652</v>
      </c>
      <c r="J18" s="6" t="n">
        <f aca="false">SQRT(2*(G18-F18)^2/(G18+F18))</f>
        <v>2.06764225838768</v>
      </c>
      <c r="K18" s="6" t="n">
        <f aca="false">J18*2</f>
        <v>4.13528451677537</v>
      </c>
    </row>
    <row r="19" customFormat="false" ht="15" hidden="false" customHeight="false" outlineLevel="0" collapsed="false">
      <c r="A19" s="0" t="s">
        <v>22</v>
      </c>
      <c r="B19" s="0" t="n">
        <v>8057800</v>
      </c>
      <c r="C19" s="0" t="s">
        <v>66</v>
      </c>
      <c r="D19" s="0" t="s">
        <v>37</v>
      </c>
      <c r="E19" s="0" t="s">
        <v>52</v>
      </c>
      <c r="F19" s="0" t="n">
        <v>136</v>
      </c>
      <c r="G19" s="0" t="n">
        <v>114</v>
      </c>
      <c r="H19" s="5" t="n">
        <f aca="false">(G19-F19)/F19</f>
        <v>-0.161764705882353</v>
      </c>
      <c r="I19" s="5" t="n">
        <f aca="false">ABS(H19)</f>
        <v>0.161764705882353</v>
      </c>
      <c r="J19" s="6" t="n">
        <f aca="false">SQRT(2*(G19-F19)^2/(G19+F19))</f>
        <v>1.96773982019981</v>
      </c>
      <c r="K19" s="6" t="n">
        <f aca="false">J19*2</f>
        <v>3.93547964039963</v>
      </c>
    </row>
    <row r="20" customFormat="false" ht="15" hidden="false" customHeight="false" outlineLevel="0" collapsed="false">
      <c r="A20" s="0" t="s">
        <v>22</v>
      </c>
      <c r="B20" s="0" t="n">
        <v>8030800</v>
      </c>
      <c r="C20" s="0" t="s">
        <v>67</v>
      </c>
      <c r="D20" s="0" t="s">
        <v>68</v>
      </c>
      <c r="E20" s="0" t="s">
        <v>69</v>
      </c>
      <c r="F20" s="0" t="n">
        <v>284</v>
      </c>
      <c r="G20" s="0" t="n">
        <v>318</v>
      </c>
      <c r="H20" s="5" t="n">
        <f aca="false">(G20-F20)/F20</f>
        <v>0.119718309859155</v>
      </c>
      <c r="I20" s="5" t="n">
        <f aca="false">ABS(H20)</f>
        <v>0.119718309859155</v>
      </c>
      <c r="J20" s="6" t="n">
        <f aca="false">SQRT(2*(G20-F20)^2/(G20+F20))</f>
        <v>1.9597274201944</v>
      </c>
      <c r="K20" s="6" t="n">
        <f aca="false">J20*2</f>
        <v>3.9194548403888</v>
      </c>
    </row>
    <row r="21" customFormat="false" ht="15" hidden="false" customHeight="false" outlineLevel="0" collapsed="false">
      <c r="A21" s="0" t="s">
        <v>22</v>
      </c>
      <c r="B21" s="0" t="n">
        <v>8036600</v>
      </c>
      <c r="C21" s="0" t="s">
        <v>70</v>
      </c>
      <c r="D21" s="0" t="s">
        <v>71</v>
      </c>
      <c r="E21" s="0" t="s">
        <v>25</v>
      </c>
      <c r="F21" s="0" t="n">
        <v>433</v>
      </c>
      <c r="G21" s="0" t="n">
        <v>396</v>
      </c>
      <c r="H21" s="5" t="n">
        <f aca="false">(G21-F21)/F21</f>
        <v>-0.0854503464203233</v>
      </c>
      <c r="I21" s="5" t="n">
        <f aca="false">ABS(H21)</f>
        <v>0.0854503464203233</v>
      </c>
      <c r="J21" s="6" t="n">
        <f aca="false">SQRT(2*(G21-F21)^2/(G21+F21))</f>
        <v>1.81735368792663</v>
      </c>
      <c r="K21" s="6" t="n">
        <f aca="false">J21*2</f>
        <v>3.63470737585325</v>
      </c>
    </row>
    <row r="22" customFormat="false" ht="15" hidden="false" customHeight="false" outlineLevel="0" collapsed="false">
      <c r="A22" s="0" t="s">
        <v>22</v>
      </c>
      <c r="B22" s="0" t="n">
        <v>8049100</v>
      </c>
      <c r="C22" s="0" t="s">
        <v>72</v>
      </c>
      <c r="D22" s="0" t="s">
        <v>59</v>
      </c>
      <c r="E22" s="0" t="s">
        <v>73</v>
      </c>
      <c r="F22" s="0" t="n">
        <v>354</v>
      </c>
      <c r="G22" s="0" t="n">
        <v>324</v>
      </c>
      <c r="H22" s="5" t="n">
        <f aca="false">(G22-F22)/F22</f>
        <v>-0.0847457627118644</v>
      </c>
      <c r="I22" s="5" t="n">
        <f aca="false">ABS(H22)</f>
        <v>0.0847457627118644</v>
      </c>
      <c r="J22" s="6" t="n">
        <f aca="false">SQRT(2*(G22-F22)^2/(G22+F22))</f>
        <v>1.62937633978071</v>
      </c>
      <c r="K22" s="6" t="n">
        <f aca="false">J22*2</f>
        <v>3.25875267956141</v>
      </c>
    </row>
    <row r="23" customFormat="false" ht="15" hidden="false" customHeight="false" outlineLevel="0" collapsed="false">
      <c r="A23" s="0" t="s">
        <v>22</v>
      </c>
      <c r="B23" s="0" t="n">
        <v>8052400</v>
      </c>
      <c r="C23" s="0" t="s">
        <v>74</v>
      </c>
      <c r="D23" s="0" t="s">
        <v>61</v>
      </c>
      <c r="E23" s="0" t="s">
        <v>55</v>
      </c>
      <c r="F23" s="0" t="n">
        <v>208</v>
      </c>
      <c r="G23" s="0" t="n">
        <v>186</v>
      </c>
      <c r="H23" s="5" t="n">
        <f aca="false">(G23-F23)/F23</f>
        <v>-0.105769230769231</v>
      </c>
      <c r="I23" s="5" t="n">
        <f aca="false">ABS(H23)</f>
        <v>0.105769230769231</v>
      </c>
      <c r="J23" s="6" t="n">
        <f aca="false">SQRT(2*(G23-F23)^2/(G23+F23))</f>
        <v>1.56743509973401</v>
      </c>
      <c r="K23" s="6" t="n">
        <f aca="false">J23*2</f>
        <v>3.13487019946802</v>
      </c>
    </row>
    <row r="24" customFormat="false" ht="15" hidden="false" customHeight="false" outlineLevel="0" collapsed="false">
      <c r="A24" s="0" t="s">
        <v>22</v>
      </c>
      <c r="B24" s="0" t="n">
        <v>8056450</v>
      </c>
      <c r="C24" s="0" t="s">
        <v>75</v>
      </c>
      <c r="D24" s="0" t="s">
        <v>51</v>
      </c>
      <c r="E24" s="0" t="s">
        <v>25</v>
      </c>
      <c r="F24" s="0" t="n">
        <v>214</v>
      </c>
      <c r="G24" s="0" t="n">
        <v>193</v>
      </c>
      <c r="H24" s="5" t="n">
        <f aca="false">(G24-F24)/F24</f>
        <v>-0.0981308411214953</v>
      </c>
      <c r="I24" s="5" t="n">
        <f aca="false">ABS(H24)</f>
        <v>0.0981308411214953</v>
      </c>
      <c r="J24" s="6" t="n">
        <f aca="false">SQRT(2*(G24-F24)^2/(G24+F24))</f>
        <v>1.47209923818884</v>
      </c>
      <c r="K24" s="6" t="n">
        <f aca="false">J24*2</f>
        <v>2.94419847637768</v>
      </c>
    </row>
    <row r="25" customFormat="false" ht="15" hidden="false" customHeight="false" outlineLevel="0" collapsed="false">
      <c r="A25" s="0" t="s">
        <v>22</v>
      </c>
      <c r="B25" s="0" t="n">
        <v>9010810</v>
      </c>
      <c r="C25" s="0" t="s">
        <v>76</v>
      </c>
      <c r="D25" s="0" t="s">
        <v>24</v>
      </c>
      <c r="E25" s="0" t="s">
        <v>52</v>
      </c>
      <c r="F25" s="0" t="n">
        <v>252</v>
      </c>
      <c r="G25" s="0" t="n">
        <v>268</v>
      </c>
      <c r="H25" s="5" t="n">
        <f aca="false">(G25-F25)/F25</f>
        <v>0.0634920634920635</v>
      </c>
      <c r="I25" s="5" t="n">
        <f aca="false">ABS(H25)</f>
        <v>0.0634920634920635</v>
      </c>
      <c r="J25" s="6" t="n">
        <f aca="false">SQRT(2*(G25-F25)^2/(G25+F25))</f>
        <v>0.992277876713668</v>
      </c>
      <c r="K25" s="6" t="n">
        <f aca="false">J25*2</f>
        <v>1.98455575342734</v>
      </c>
    </row>
    <row r="26" customFormat="false" ht="15" hidden="false" customHeight="false" outlineLevel="0" collapsed="false">
      <c r="A26" s="0" t="s">
        <v>22</v>
      </c>
      <c r="B26" s="0" t="n">
        <v>8052000</v>
      </c>
      <c r="C26" s="0" t="s">
        <v>77</v>
      </c>
      <c r="D26" s="0" t="s">
        <v>78</v>
      </c>
      <c r="E26" s="0" t="s">
        <v>33</v>
      </c>
      <c r="F26" s="0" t="n">
        <v>176</v>
      </c>
      <c r="G26" s="0" t="n">
        <v>164</v>
      </c>
      <c r="H26" s="5" t="n">
        <f aca="false">(G26-F26)/F26</f>
        <v>-0.0681818181818182</v>
      </c>
      <c r="I26" s="5" t="n">
        <f aca="false">ABS(H26)</f>
        <v>0.0681818181818182</v>
      </c>
      <c r="J26" s="6" t="n">
        <f aca="false">SQRT(2*(G26-F26)^2/(G26+F26))</f>
        <v>0.920357986616845</v>
      </c>
      <c r="K26" s="6" t="n">
        <f aca="false">J26*2</f>
        <v>1.84071597323369</v>
      </c>
    </row>
    <row r="27" customFormat="false" ht="15" hidden="false" customHeight="false" outlineLevel="0" collapsed="false">
      <c r="A27" s="0" t="s">
        <v>22</v>
      </c>
      <c r="B27" s="0" t="n">
        <v>8059100</v>
      </c>
      <c r="C27" s="0" t="s">
        <v>79</v>
      </c>
      <c r="D27" s="0" t="s">
        <v>80</v>
      </c>
      <c r="E27" s="0" t="s">
        <v>81</v>
      </c>
      <c r="F27" s="0" t="n">
        <v>207</v>
      </c>
      <c r="G27" s="0" t="n">
        <v>194</v>
      </c>
      <c r="H27" s="5" t="n">
        <f aca="false">(G27-F27)/F27</f>
        <v>-0.0628019323671498</v>
      </c>
      <c r="I27" s="5" t="n">
        <f aca="false">ABS(H27)</f>
        <v>0.0628019323671498</v>
      </c>
      <c r="J27" s="6" t="n">
        <f aca="false">SQRT(2*(G27-F27)^2/(G27+F27))</f>
        <v>0.918091917010383</v>
      </c>
      <c r="K27" s="6" t="n">
        <f aca="false">J27*2</f>
        <v>1.83618383402077</v>
      </c>
    </row>
    <row r="28" customFormat="false" ht="15" hidden="false" customHeight="false" outlineLevel="0" collapsed="false">
      <c r="A28" s="0" t="s">
        <v>22</v>
      </c>
      <c r="B28" s="0" t="n">
        <v>8058015</v>
      </c>
      <c r="C28" s="0" t="s">
        <v>82</v>
      </c>
      <c r="D28" s="0" t="s">
        <v>83</v>
      </c>
      <c r="E28" s="0" t="s">
        <v>52</v>
      </c>
      <c r="F28" s="0" t="n">
        <v>282</v>
      </c>
      <c r="G28" s="0" t="n">
        <v>267</v>
      </c>
      <c r="H28" s="5" t="n">
        <f aca="false">(G28-F28)/F28</f>
        <v>-0.0531914893617021</v>
      </c>
      <c r="I28" s="5" t="n">
        <f aca="false">ABS(H28)</f>
        <v>0.0531914893617021</v>
      </c>
      <c r="J28" s="6" t="n">
        <f aca="false">SQRT(2*(G28-F28)^2/(G28+F28))</f>
        <v>0.905357460425185</v>
      </c>
      <c r="K28" s="6" t="n">
        <f aca="false">J28*2</f>
        <v>1.81071492085037</v>
      </c>
    </row>
    <row r="29" customFormat="false" ht="15" hidden="false" customHeight="false" outlineLevel="0" collapsed="false">
      <c r="A29" s="0" t="s">
        <v>22</v>
      </c>
      <c r="B29" s="0" t="n">
        <v>8059010</v>
      </c>
      <c r="C29" s="0" t="s">
        <v>84</v>
      </c>
      <c r="D29" s="0" t="s">
        <v>57</v>
      </c>
      <c r="E29" s="0" t="s">
        <v>55</v>
      </c>
      <c r="F29" s="0" t="n">
        <v>413</v>
      </c>
      <c r="G29" s="0" t="n">
        <v>431</v>
      </c>
      <c r="H29" s="5" t="n">
        <f aca="false">(G29-F29)/F29</f>
        <v>0.0435835351089588</v>
      </c>
      <c r="I29" s="5" t="n">
        <f aca="false">ABS(H29)</f>
        <v>0.0435835351089588</v>
      </c>
      <c r="J29" s="6" t="n">
        <f aca="false">SQRT(2*(G29-F29)^2/(G29+F29))</f>
        <v>0.876226290320224</v>
      </c>
      <c r="K29" s="6" t="n">
        <f aca="false">J29*2</f>
        <v>1.75245258064045</v>
      </c>
    </row>
    <row r="30" customFormat="false" ht="15" hidden="false" customHeight="false" outlineLevel="0" collapsed="false">
      <c r="A30" s="0" t="s">
        <v>22</v>
      </c>
      <c r="B30" s="0" t="n">
        <v>8025300</v>
      </c>
      <c r="C30" s="0" t="s">
        <v>85</v>
      </c>
      <c r="D30" s="0" t="s">
        <v>86</v>
      </c>
      <c r="E30" s="0" t="s">
        <v>25</v>
      </c>
      <c r="F30" s="0" t="n">
        <v>174</v>
      </c>
      <c r="G30" s="0" t="n">
        <v>185</v>
      </c>
      <c r="H30" s="5" t="n">
        <f aca="false">(G30-F30)/F30</f>
        <v>0.0632183908045977</v>
      </c>
      <c r="I30" s="5" t="n">
        <f aca="false">ABS(H30)</f>
        <v>0.0632183908045977</v>
      </c>
      <c r="J30" s="6" t="n">
        <f aca="false">SQRT(2*(G30-F30)^2/(G30+F30))</f>
        <v>0.821032707948284</v>
      </c>
      <c r="K30" s="6" t="n">
        <f aca="false">J30*2</f>
        <v>1.64206541589657</v>
      </c>
    </row>
    <row r="31" customFormat="false" ht="15" hidden="false" customHeight="false" outlineLevel="0" collapsed="false">
      <c r="A31" s="0" t="s">
        <v>22</v>
      </c>
      <c r="B31" s="0" t="n">
        <v>8051400</v>
      </c>
      <c r="C31" s="0" t="s">
        <v>87</v>
      </c>
      <c r="D31" s="0" t="s">
        <v>88</v>
      </c>
      <c r="E31" s="0" t="s">
        <v>89</v>
      </c>
      <c r="F31" s="0" t="n">
        <v>190</v>
      </c>
      <c r="G31" s="0" t="n">
        <v>179</v>
      </c>
      <c r="H31" s="5" t="n">
        <f aca="false">(G31-F31)/F31</f>
        <v>-0.0578947368421053</v>
      </c>
      <c r="I31" s="5" t="n">
        <f aca="false">ABS(H31)</f>
        <v>0.0578947368421053</v>
      </c>
      <c r="J31" s="6" t="n">
        <f aca="false">SQRT(2*(G31-F31)^2/(G31+F31))</f>
        <v>0.809831191215541</v>
      </c>
      <c r="K31" s="6" t="n">
        <f aca="false">J31*2</f>
        <v>1.61966238243108</v>
      </c>
    </row>
    <row r="32" customFormat="false" ht="15" hidden="false" customHeight="false" outlineLevel="0" collapsed="false">
      <c r="A32" s="0" t="s">
        <v>22</v>
      </c>
      <c r="B32" s="0" t="n">
        <v>8032700</v>
      </c>
      <c r="C32" s="0" t="s">
        <v>90</v>
      </c>
      <c r="D32" s="0" t="s">
        <v>91</v>
      </c>
      <c r="E32" s="0" t="s">
        <v>92</v>
      </c>
      <c r="F32" s="0" t="n">
        <v>81</v>
      </c>
      <c r="G32" s="0" t="n">
        <v>74</v>
      </c>
      <c r="H32" s="5" t="n">
        <f aca="false">(G32-F32)/F32</f>
        <v>-0.0864197530864198</v>
      </c>
      <c r="I32" s="5" t="n">
        <f aca="false">ABS(H32)</f>
        <v>0.0864197530864198</v>
      </c>
      <c r="J32" s="6" t="n">
        <f aca="false">SQRT(2*(G32-F32)^2/(G32+F32))</f>
        <v>0.795146567945891</v>
      </c>
      <c r="K32" s="6" t="n">
        <f aca="false">J32*2</f>
        <v>1.59029313589178</v>
      </c>
    </row>
    <row r="33" customFormat="false" ht="15" hidden="false" customHeight="false" outlineLevel="0" collapsed="false">
      <c r="A33" s="0" t="s">
        <v>22</v>
      </c>
      <c r="B33" s="0" t="n">
        <v>8039900</v>
      </c>
      <c r="C33" s="0" t="s">
        <v>93</v>
      </c>
      <c r="D33" s="0" t="s">
        <v>94</v>
      </c>
      <c r="E33" s="0" t="s">
        <v>46</v>
      </c>
      <c r="F33" s="0" t="n">
        <v>308</v>
      </c>
      <c r="G33" s="0" t="n">
        <v>296</v>
      </c>
      <c r="H33" s="5" t="n">
        <f aca="false">(G33-F33)/F33</f>
        <v>-0.038961038961039</v>
      </c>
      <c r="I33" s="5" t="n">
        <f aca="false">ABS(H33)</f>
        <v>0.038961038961039</v>
      </c>
      <c r="J33" s="6" t="n">
        <f aca="false">SQRT(2*(G33-F33)^2/(G33+F33))</f>
        <v>0.690522405178123</v>
      </c>
      <c r="K33" s="6" t="n">
        <f aca="false">J33*2</f>
        <v>1.38104481035625</v>
      </c>
    </row>
    <row r="34" customFormat="false" ht="15" hidden="false" customHeight="false" outlineLevel="0" collapsed="false">
      <c r="A34" s="0" t="s">
        <v>22</v>
      </c>
      <c r="B34" s="0" t="n">
        <v>8057900</v>
      </c>
      <c r="C34" s="0" t="s">
        <v>95</v>
      </c>
      <c r="D34" s="0" t="s">
        <v>96</v>
      </c>
      <c r="E34" s="0" t="s">
        <v>52</v>
      </c>
      <c r="F34" s="0" t="n">
        <v>158</v>
      </c>
      <c r="G34" s="0" t="n">
        <v>166</v>
      </c>
      <c r="H34" s="5" t="n">
        <f aca="false">(G34-F34)/F34</f>
        <v>0.0506329113924051</v>
      </c>
      <c r="I34" s="5" t="n">
        <f aca="false">ABS(H34)</f>
        <v>0.0506329113924051</v>
      </c>
      <c r="J34" s="6" t="n">
        <f aca="false">SQRT(2*(G34-F34)^2/(G34+F34))</f>
        <v>0.628539361054709</v>
      </c>
      <c r="K34" s="6" t="n">
        <f aca="false">J34*2</f>
        <v>1.25707872210942</v>
      </c>
    </row>
    <row r="35" customFormat="false" ht="15" hidden="false" customHeight="false" outlineLevel="0" collapsed="false">
      <c r="A35" s="0" t="s">
        <v>22</v>
      </c>
      <c r="B35" s="0" t="n">
        <v>8042600</v>
      </c>
      <c r="C35" s="0" t="s">
        <v>97</v>
      </c>
      <c r="D35" s="0" t="s">
        <v>98</v>
      </c>
      <c r="E35" s="0" t="s">
        <v>33</v>
      </c>
      <c r="F35" s="0" t="n">
        <v>242</v>
      </c>
      <c r="G35" s="0" t="n">
        <v>233</v>
      </c>
      <c r="H35" s="5" t="n">
        <f aca="false">(G35-F35)/F35</f>
        <v>-0.0371900826446281</v>
      </c>
      <c r="I35" s="5" t="n">
        <f aca="false">ABS(H35)</f>
        <v>0.0371900826446281</v>
      </c>
      <c r="J35" s="6" t="n">
        <f aca="false">SQRT(2*(G35-F35)^2/(G35+F35))</f>
        <v>0.583997116070745</v>
      </c>
      <c r="K35" s="6" t="n">
        <f aca="false">J35*2</f>
        <v>1.16799423214149</v>
      </c>
    </row>
    <row r="36" customFormat="false" ht="15" hidden="false" customHeight="false" outlineLevel="0" collapsed="false">
      <c r="A36" s="0" t="s">
        <v>22</v>
      </c>
      <c r="B36" s="0" t="n">
        <v>8035100</v>
      </c>
      <c r="C36" s="0" t="s">
        <v>99</v>
      </c>
      <c r="D36" s="0" t="s">
        <v>100</v>
      </c>
      <c r="E36" s="0" t="s">
        <v>52</v>
      </c>
      <c r="F36" s="0" t="n">
        <v>625</v>
      </c>
      <c r="G36" s="0" t="n">
        <v>639</v>
      </c>
      <c r="H36" s="5" t="n">
        <f aca="false">(G36-F36)/F36</f>
        <v>0.0224</v>
      </c>
      <c r="I36" s="5" t="n">
        <f aca="false">ABS(H36)</f>
        <v>0.0224</v>
      </c>
      <c r="J36" s="6" t="n">
        <f aca="false">SQRT(2*(G36-F36)^2/(G36+F36))</f>
        <v>0.556890098923011</v>
      </c>
      <c r="K36" s="6" t="n">
        <f aca="false">J36*2</f>
        <v>1.11378019784602</v>
      </c>
    </row>
    <row r="37" customFormat="false" ht="15" hidden="false" customHeight="false" outlineLevel="0" collapsed="false">
      <c r="A37" s="0" t="s">
        <v>22</v>
      </c>
      <c r="B37" s="0" t="n">
        <v>8052100</v>
      </c>
      <c r="C37" s="0" t="s">
        <v>101</v>
      </c>
      <c r="D37" s="0" t="s">
        <v>102</v>
      </c>
      <c r="E37" s="0" t="s">
        <v>25</v>
      </c>
      <c r="F37" s="0" t="n">
        <v>273</v>
      </c>
      <c r="G37" s="0" t="n">
        <v>264</v>
      </c>
      <c r="H37" s="5" t="n">
        <f aca="false">(G37-F37)/F37</f>
        <v>-0.032967032967033</v>
      </c>
      <c r="I37" s="5" t="n">
        <f aca="false">ABS(H37)</f>
        <v>0.032967032967033</v>
      </c>
      <c r="J37" s="6" t="n">
        <f aca="false">SQRT(2*(G37-F37)^2/(G37+F37))</f>
        <v>0.549250377927618</v>
      </c>
      <c r="K37" s="6" t="n">
        <f aca="false">J37*2</f>
        <v>1.09850075585524</v>
      </c>
    </row>
    <row r="38" customFormat="false" ht="15" hidden="false" customHeight="false" outlineLevel="0" collapsed="false">
      <c r="A38" s="0" t="s">
        <v>22</v>
      </c>
      <c r="B38" s="0" t="n">
        <v>8057965</v>
      </c>
      <c r="C38" s="0" t="s">
        <v>103</v>
      </c>
      <c r="D38" s="0" t="s">
        <v>104</v>
      </c>
      <c r="E38" s="0" t="s">
        <v>46</v>
      </c>
      <c r="F38" s="0" t="n">
        <v>353</v>
      </c>
      <c r="G38" s="0" t="n">
        <v>343</v>
      </c>
      <c r="H38" s="5" t="n">
        <f aca="false">(G38-F38)/F38</f>
        <v>-0.028328611898017</v>
      </c>
      <c r="I38" s="5" t="n">
        <f aca="false">ABS(H38)</f>
        <v>0.028328611898017</v>
      </c>
      <c r="J38" s="6" t="n">
        <f aca="false">SQRT(2*(G38-F38)^2/(G38+F38))</f>
        <v>0.536056267418897</v>
      </c>
      <c r="K38" s="6" t="n">
        <f aca="false">J38*2</f>
        <v>1.0721125348378</v>
      </c>
    </row>
    <row r="39" customFormat="false" ht="15" hidden="false" customHeight="false" outlineLevel="0" collapsed="false">
      <c r="A39" s="0" t="s">
        <v>22</v>
      </c>
      <c r="B39" s="0" t="n">
        <v>8031700</v>
      </c>
      <c r="C39" s="0" t="s">
        <v>105</v>
      </c>
      <c r="D39" s="0" t="s">
        <v>45</v>
      </c>
      <c r="E39" s="0" t="s">
        <v>92</v>
      </c>
      <c r="F39" s="0" t="n">
        <v>369</v>
      </c>
      <c r="G39" s="0" t="n">
        <v>360</v>
      </c>
      <c r="H39" s="5" t="n">
        <f aca="false">(G39-F39)/F39</f>
        <v>-0.024390243902439</v>
      </c>
      <c r="I39" s="5" t="n">
        <f aca="false">ABS(H39)</f>
        <v>0.024390243902439</v>
      </c>
      <c r="J39" s="6" t="n">
        <f aca="false">SQRT(2*(G39-F39)^2/(G39+F39))</f>
        <v>0.471404520791032</v>
      </c>
      <c r="K39" s="6" t="n">
        <f aca="false">J39*2</f>
        <v>0.942809041582063</v>
      </c>
    </row>
    <row r="40" customFormat="false" ht="15" hidden="false" customHeight="false" outlineLevel="0" collapsed="false">
      <c r="A40" s="0" t="s">
        <v>22</v>
      </c>
      <c r="B40" s="0" t="n">
        <v>8048400</v>
      </c>
      <c r="C40" s="0" t="s">
        <v>106</v>
      </c>
      <c r="D40" s="0" t="s">
        <v>83</v>
      </c>
      <c r="E40" s="0" t="s">
        <v>107</v>
      </c>
      <c r="F40" s="0" t="n">
        <v>125</v>
      </c>
      <c r="G40" s="0" t="n">
        <v>120</v>
      </c>
      <c r="H40" s="5" t="n">
        <f aca="false">(G40-F40)/F40</f>
        <v>-0.04</v>
      </c>
      <c r="I40" s="5" t="n">
        <f aca="false">ABS(H40)</f>
        <v>0.04</v>
      </c>
      <c r="J40" s="6" t="n">
        <f aca="false">SQRT(2*(G40-F40)^2/(G40+F40))</f>
        <v>0.451753951452626</v>
      </c>
      <c r="K40" s="6" t="n">
        <f aca="false">J40*2</f>
        <v>0.903507902905251</v>
      </c>
    </row>
    <row r="41" customFormat="false" ht="15" hidden="false" customHeight="false" outlineLevel="0" collapsed="false">
      <c r="A41" s="0" t="s">
        <v>22</v>
      </c>
      <c r="B41" s="0" t="n">
        <v>8033150</v>
      </c>
      <c r="C41" s="0" t="s">
        <v>108</v>
      </c>
      <c r="D41" s="0" t="s">
        <v>94</v>
      </c>
      <c r="E41" s="0" t="s">
        <v>25</v>
      </c>
      <c r="F41" s="0" t="n">
        <v>429</v>
      </c>
      <c r="G41" s="0" t="n">
        <v>420</v>
      </c>
      <c r="H41" s="5" t="n">
        <f aca="false">(G41-F41)/F41</f>
        <v>-0.020979020979021</v>
      </c>
      <c r="I41" s="5" t="n">
        <f aca="false">ABS(H41)</f>
        <v>0.020979020979021</v>
      </c>
      <c r="J41" s="6" t="n">
        <f aca="false">SQRT(2*(G41-F41)^2/(G41+F41))</f>
        <v>0.436821154304661</v>
      </c>
      <c r="K41" s="6" t="n">
        <f aca="false">J41*2</f>
        <v>0.873642308609322</v>
      </c>
    </row>
    <row r="42" customFormat="false" ht="15" hidden="false" customHeight="false" outlineLevel="0" collapsed="false">
      <c r="A42" s="0" t="s">
        <v>22</v>
      </c>
      <c r="B42" s="0" t="n">
        <v>8051500</v>
      </c>
      <c r="C42" s="0" t="s">
        <v>109</v>
      </c>
      <c r="D42" s="0" t="s">
        <v>110</v>
      </c>
      <c r="E42" s="0" t="s">
        <v>52</v>
      </c>
      <c r="F42" s="0" t="n">
        <v>255</v>
      </c>
      <c r="G42" s="0" t="n">
        <v>250</v>
      </c>
      <c r="H42" s="5" t="n">
        <f aca="false">(G42-F42)/F42</f>
        <v>-0.0196078431372549</v>
      </c>
      <c r="I42" s="5" t="n">
        <f aca="false">ABS(H42)</f>
        <v>0.0196078431372549</v>
      </c>
      <c r="J42" s="6" t="n">
        <f aca="false">SQRT(2*(G42-F42)^2/(G42+F42))</f>
        <v>0.314658387763776</v>
      </c>
      <c r="K42" s="6" t="n">
        <f aca="false">J42*2</f>
        <v>0.629316775527553</v>
      </c>
    </row>
    <row r="43" customFormat="false" ht="15" hidden="false" customHeight="false" outlineLevel="0" collapsed="false">
      <c r="A43" s="0" t="s">
        <v>22</v>
      </c>
      <c r="B43" s="0" t="n">
        <v>8037300</v>
      </c>
      <c r="C43" s="0" t="s">
        <v>111</v>
      </c>
      <c r="D43" s="0" t="s">
        <v>112</v>
      </c>
      <c r="E43" s="0" t="s">
        <v>25</v>
      </c>
      <c r="F43" s="0" t="n">
        <v>380</v>
      </c>
      <c r="G43" s="0" t="n">
        <v>374</v>
      </c>
      <c r="H43" s="5" t="n">
        <f aca="false">(G43-F43)/F43</f>
        <v>-0.0157894736842105</v>
      </c>
      <c r="I43" s="5" t="n">
        <f aca="false">ABS(H43)</f>
        <v>0.0157894736842105</v>
      </c>
      <c r="J43" s="6" t="n">
        <f aca="false">SQRT(2*(G43-F43)^2/(G43+F43))</f>
        <v>0.309015721574763</v>
      </c>
      <c r="K43" s="6" t="n">
        <f aca="false">J43*2</f>
        <v>0.618031443149526</v>
      </c>
    </row>
    <row r="44" customFormat="false" ht="15" hidden="false" customHeight="false" outlineLevel="0" collapsed="false">
      <c r="A44" s="0" t="s">
        <v>22</v>
      </c>
      <c r="B44" s="0" t="n">
        <v>8052900</v>
      </c>
      <c r="C44" s="0" t="s">
        <v>113</v>
      </c>
      <c r="D44" s="0" t="s">
        <v>32</v>
      </c>
      <c r="E44" s="0" t="s">
        <v>92</v>
      </c>
      <c r="F44" s="0" t="n">
        <v>166</v>
      </c>
      <c r="G44" s="0" t="n">
        <v>170</v>
      </c>
      <c r="H44" s="5" t="n">
        <f aca="false">(G44-F44)/F44</f>
        <v>0.0240963855421687</v>
      </c>
      <c r="I44" s="5" t="n">
        <f aca="false">ABS(H44)</f>
        <v>0.0240963855421687</v>
      </c>
      <c r="J44" s="6" t="n">
        <f aca="false">SQRT(2*(G44-F44)^2/(G44+F44))</f>
        <v>0.308606699924184</v>
      </c>
      <c r="K44" s="6" t="n">
        <f aca="false">J44*2</f>
        <v>0.617213399848368</v>
      </c>
    </row>
    <row r="45" customFormat="false" ht="15" hidden="false" customHeight="false" outlineLevel="0" collapsed="false">
      <c r="A45" s="0" t="s">
        <v>22</v>
      </c>
      <c r="B45" s="0" t="n">
        <v>8057970</v>
      </c>
      <c r="C45" s="0" t="s">
        <v>114</v>
      </c>
      <c r="D45" s="0" t="s">
        <v>115</v>
      </c>
      <c r="E45" s="0" t="s">
        <v>92</v>
      </c>
      <c r="F45" s="0" t="n">
        <v>397</v>
      </c>
      <c r="G45" s="0" t="n">
        <v>391</v>
      </c>
      <c r="H45" s="5" t="n">
        <f aca="false">(G45-F45)/F45</f>
        <v>-0.0151133501259446</v>
      </c>
      <c r="I45" s="5" t="n">
        <f aca="false">ABS(H45)</f>
        <v>0.0151133501259446</v>
      </c>
      <c r="J45" s="6" t="n">
        <f aca="false">SQRT(2*(G45-F45)^2/(G45+F45))</f>
        <v>0.302275633115927</v>
      </c>
      <c r="K45" s="6" t="n">
        <f aca="false">J45*2</f>
        <v>0.604551266231854</v>
      </c>
    </row>
    <row r="46" customFormat="false" ht="15" hidden="false" customHeight="false" outlineLevel="0" collapsed="false">
      <c r="A46" s="0" t="s">
        <v>22</v>
      </c>
      <c r="B46" s="0" t="n">
        <v>8052300</v>
      </c>
      <c r="C46" s="0" t="s">
        <v>116</v>
      </c>
      <c r="D46" s="0" t="s">
        <v>117</v>
      </c>
      <c r="E46" s="0" t="s">
        <v>118</v>
      </c>
      <c r="F46" s="0" t="n">
        <v>256</v>
      </c>
      <c r="G46" s="0" t="n">
        <v>253</v>
      </c>
      <c r="H46" s="5" t="n">
        <f aca="false">(G46-F46)/F46</f>
        <v>-0.01171875</v>
      </c>
      <c r="I46" s="5" t="n">
        <f aca="false">ABS(H46)</f>
        <v>0.01171875</v>
      </c>
      <c r="J46" s="6" t="n">
        <f aca="false">SQRT(2*(G46-F46)^2/(G46+F46))</f>
        <v>0.188051742242167</v>
      </c>
      <c r="K46" s="6" t="n">
        <f aca="false">J46*2</f>
        <v>0.376103484484334</v>
      </c>
    </row>
    <row r="47" customFormat="false" ht="15" hidden="false" customHeight="false" outlineLevel="0" collapsed="false">
      <c r="A47" s="0" t="s">
        <v>22</v>
      </c>
      <c r="B47" s="0" t="n">
        <v>8048500</v>
      </c>
      <c r="C47" s="0" t="s">
        <v>119</v>
      </c>
      <c r="D47" s="0" t="s">
        <v>78</v>
      </c>
      <c r="E47" s="0" t="s">
        <v>35</v>
      </c>
      <c r="F47" s="0" t="n">
        <v>273</v>
      </c>
      <c r="G47" s="0" t="n">
        <v>270</v>
      </c>
      <c r="H47" s="5" t="n">
        <f aca="false">(G47-F47)/F47</f>
        <v>-0.010989010989011</v>
      </c>
      <c r="I47" s="5" t="n">
        <f aca="false">ABS(H47)</f>
        <v>0.010989010989011</v>
      </c>
      <c r="J47" s="6" t="n">
        <f aca="false">SQRT(2*(G47-F47)^2/(G47+F47))</f>
        <v>0.182069138710321</v>
      </c>
      <c r="K47" s="6" t="n">
        <f aca="false">J47*2</f>
        <v>0.364138277420643</v>
      </c>
    </row>
    <row r="48" customFormat="false" ht="15" hidden="false" customHeight="false" outlineLevel="0" collapsed="false">
      <c r="A48" s="0" t="s">
        <v>22</v>
      </c>
      <c r="B48" s="0" t="n">
        <v>8055800</v>
      </c>
      <c r="C48" s="0" t="s">
        <v>120</v>
      </c>
      <c r="D48" s="0" t="s">
        <v>45</v>
      </c>
      <c r="E48" s="0" t="s">
        <v>25</v>
      </c>
      <c r="F48" s="0" t="n">
        <v>157</v>
      </c>
      <c r="G48" s="0" t="n">
        <v>159</v>
      </c>
      <c r="H48" s="5" t="n">
        <f aca="false">(G48-F48)/F48</f>
        <v>0.0127388535031847</v>
      </c>
      <c r="I48" s="5" t="n">
        <f aca="false">ABS(H48)</f>
        <v>0.0127388535031847</v>
      </c>
      <c r="J48" s="6" t="n">
        <f aca="false">SQRT(2*(G48-F48)^2/(G48+F48))</f>
        <v>0.159111456835146</v>
      </c>
      <c r="K48" s="6" t="n">
        <f aca="false">J48*2</f>
        <v>0.318222913670292</v>
      </c>
    </row>
    <row r="49" customFormat="false" ht="15" hidden="false" customHeight="false" outlineLevel="0" collapsed="false">
      <c r="A49" s="0" t="s">
        <v>22</v>
      </c>
      <c r="B49" s="0" t="n">
        <v>8054600</v>
      </c>
      <c r="C49" s="0" t="s">
        <v>121</v>
      </c>
      <c r="D49" s="0" t="s">
        <v>122</v>
      </c>
      <c r="E49" s="0" t="s">
        <v>25</v>
      </c>
      <c r="F49" s="0" t="n">
        <v>269</v>
      </c>
      <c r="G49" s="0" t="n">
        <v>268</v>
      </c>
      <c r="H49" s="5" t="n">
        <f aca="false">(G49-F49)/F49</f>
        <v>-0.00371747211895911</v>
      </c>
      <c r="I49" s="5" t="n">
        <f aca="false">ABS(H49)</f>
        <v>0.00371747211895911</v>
      </c>
      <c r="J49" s="6" t="n">
        <f aca="false">SQRT(2*(G49-F49)^2/(G49+F49))</f>
        <v>0.0610278197697353</v>
      </c>
      <c r="K49" s="6" t="n">
        <f aca="false">J49*2</f>
        <v>0.122055639539471</v>
      </c>
    </row>
    <row r="50" customFormat="false" ht="15" hidden="false" customHeight="false" outlineLevel="0" collapsed="false">
      <c r="A50" s="0" t="s">
        <v>123</v>
      </c>
      <c r="B50" s="0" t="n">
        <v>8029100</v>
      </c>
      <c r="C50" s="0" t="s">
        <v>124</v>
      </c>
      <c r="D50" s="0" t="s">
        <v>125</v>
      </c>
      <c r="E50" s="0" t="s">
        <v>38</v>
      </c>
      <c r="F50" s="0" t="n">
        <v>691</v>
      </c>
      <c r="G50" s="0" t="n">
        <v>428</v>
      </c>
      <c r="H50" s="5" t="n">
        <f aca="false">(G50-F50)/F50</f>
        <v>-0.380607814761216</v>
      </c>
      <c r="I50" s="5" t="n">
        <f aca="false">ABS(H50)</f>
        <v>0.380607814761216</v>
      </c>
      <c r="J50" s="6" t="n">
        <f aca="false">SQRT(2*(G50-F50)^2/(G50+F50))</f>
        <v>11.118743282829</v>
      </c>
      <c r="K50" s="6" t="n">
        <f aca="false">J50*2</f>
        <v>22.237486565658</v>
      </c>
    </row>
    <row r="51" customFormat="false" ht="15" hidden="false" customHeight="false" outlineLevel="0" collapsed="false">
      <c r="A51" s="0" t="s">
        <v>123</v>
      </c>
      <c r="B51" s="0" t="n">
        <v>8021000</v>
      </c>
      <c r="C51" s="0" t="s">
        <v>126</v>
      </c>
      <c r="D51" s="0" t="s">
        <v>125</v>
      </c>
      <c r="E51" s="0" t="s">
        <v>52</v>
      </c>
      <c r="F51" s="0" t="n">
        <v>305</v>
      </c>
      <c r="G51" s="0" t="n">
        <v>141</v>
      </c>
      <c r="H51" s="5" t="n">
        <f aca="false">(G51-F51)/F51</f>
        <v>-0.537704918032787</v>
      </c>
      <c r="I51" s="5" t="n">
        <f aca="false">ABS(H51)</f>
        <v>0.537704918032787</v>
      </c>
      <c r="J51" s="6" t="n">
        <f aca="false">SQRT(2*(G51-F51)^2/(G51+F51))</f>
        <v>10.9822522949918</v>
      </c>
      <c r="K51" s="6" t="n">
        <f aca="false">J51*2</f>
        <v>21.9645045899835</v>
      </c>
    </row>
    <row r="52" customFormat="false" ht="15" hidden="false" customHeight="false" outlineLevel="0" collapsed="false">
      <c r="A52" s="0" t="s">
        <v>123</v>
      </c>
      <c r="B52" s="0" t="n">
        <v>8048500</v>
      </c>
      <c r="C52" s="0" t="s">
        <v>119</v>
      </c>
      <c r="D52" s="0" t="s">
        <v>127</v>
      </c>
      <c r="E52" s="0" t="s">
        <v>35</v>
      </c>
      <c r="F52" s="0" t="n">
        <v>200</v>
      </c>
      <c r="G52" s="0" t="n">
        <v>125</v>
      </c>
      <c r="H52" s="5" t="n">
        <f aca="false">(G52-F52)/F52</f>
        <v>-0.375</v>
      </c>
      <c r="I52" s="5" t="n">
        <f aca="false">ABS(H52)</f>
        <v>0.375</v>
      </c>
      <c r="J52" s="6" t="n">
        <f aca="false">SQRT(2*(G52-F52)^2/(G52+F52))</f>
        <v>5.88348405414552</v>
      </c>
      <c r="K52" s="6" t="n">
        <f aca="false">J52*2</f>
        <v>11.766968108291</v>
      </c>
    </row>
    <row r="53" customFormat="false" ht="15" hidden="false" customHeight="false" outlineLevel="0" collapsed="false">
      <c r="A53" s="0" t="s">
        <v>123</v>
      </c>
      <c r="B53" s="0" t="n">
        <v>8022400</v>
      </c>
      <c r="C53" s="0" t="s">
        <v>128</v>
      </c>
      <c r="D53" s="0" t="s">
        <v>129</v>
      </c>
      <c r="E53" s="0" t="s">
        <v>52</v>
      </c>
      <c r="F53" s="0" t="n">
        <v>477</v>
      </c>
      <c r="G53" s="0" t="n">
        <v>363</v>
      </c>
      <c r="H53" s="5" t="n">
        <f aca="false">(G53-F53)/F53</f>
        <v>-0.238993710691824</v>
      </c>
      <c r="I53" s="5" t="n">
        <f aca="false">ABS(H53)</f>
        <v>0.238993710691824</v>
      </c>
      <c r="J53" s="6" t="n">
        <f aca="false">SQRT(2*(G53-F53)^2/(G53+F53))</f>
        <v>5.56263041580664</v>
      </c>
      <c r="K53" s="6" t="n">
        <f aca="false">J53*2</f>
        <v>11.1252608316133</v>
      </c>
    </row>
    <row r="54" customFormat="false" ht="15" hidden="false" customHeight="false" outlineLevel="0" collapsed="false">
      <c r="A54" s="0" t="s">
        <v>123</v>
      </c>
      <c r="B54" s="0" t="n">
        <v>8057300</v>
      </c>
      <c r="C54" s="0" t="s">
        <v>130</v>
      </c>
      <c r="D54" s="0" t="s">
        <v>131</v>
      </c>
      <c r="E54" s="0" t="s">
        <v>55</v>
      </c>
      <c r="F54" s="0" t="n">
        <v>187</v>
      </c>
      <c r="G54" s="0" t="n">
        <v>262</v>
      </c>
      <c r="H54" s="5" t="n">
        <f aca="false">(G54-F54)/F54</f>
        <v>0.401069518716578</v>
      </c>
      <c r="I54" s="5" t="n">
        <f aca="false">ABS(H54)</f>
        <v>0.401069518716578</v>
      </c>
      <c r="J54" s="6" t="n">
        <f aca="false">SQRT(2*(G54-F54)^2/(G54+F54))</f>
        <v>5.005564831995</v>
      </c>
      <c r="K54" s="6" t="n">
        <f aca="false">J54*2</f>
        <v>10.01112966399</v>
      </c>
    </row>
    <row r="55" customFormat="false" ht="15" hidden="false" customHeight="false" outlineLevel="0" collapsed="false">
      <c r="A55" s="0" t="s">
        <v>123</v>
      </c>
      <c r="B55" s="0" t="n">
        <v>8018400</v>
      </c>
      <c r="C55" s="0" t="s">
        <v>132</v>
      </c>
      <c r="D55" s="0" t="s">
        <v>133</v>
      </c>
      <c r="E55" s="0" t="s">
        <v>92</v>
      </c>
      <c r="F55" s="0" t="n">
        <v>699</v>
      </c>
      <c r="G55" s="0" t="n">
        <v>593</v>
      </c>
      <c r="H55" s="5" t="n">
        <f aca="false">(G55-F55)/F55</f>
        <v>-0.151645207439199</v>
      </c>
      <c r="I55" s="5" t="n">
        <f aca="false">ABS(H55)</f>
        <v>0.151645207439199</v>
      </c>
      <c r="J55" s="6" t="n">
        <f aca="false">SQRT(2*(G55-F55)^2/(G55+F55))</f>
        <v>4.17051421943256</v>
      </c>
      <c r="K55" s="6" t="n">
        <f aca="false">J55*2</f>
        <v>8.34102843886512</v>
      </c>
    </row>
    <row r="56" customFormat="false" ht="15" hidden="false" customHeight="false" outlineLevel="0" collapsed="false">
      <c r="A56" s="0" t="s">
        <v>123</v>
      </c>
      <c r="B56" s="0" t="n">
        <v>8026700</v>
      </c>
      <c r="C56" s="0" t="s">
        <v>134</v>
      </c>
      <c r="D56" s="0" t="s">
        <v>135</v>
      </c>
      <c r="E56" s="0" t="s">
        <v>52</v>
      </c>
      <c r="F56" s="0" t="n">
        <v>542</v>
      </c>
      <c r="G56" s="0" t="n">
        <v>474</v>
      </c>
      <c r="H56" s="5" t="n">
        <f aca="false">(G56-F56)/F56</f>
        <v>-0.125461254612546</v>
      </c>
      <c r="I56" s="5" t="n">
        <f aca="false">ABS(H56)</f>
        <v>0.125461254612546</v>
      </c>
      <c r="J56" s="6" t="n">
        <f aca="false">SQRT(2*(G56-F56)^2/(G56+F56))</f>
        <v>3.01701213201479</v>
      </c>
      <c r="K56" s="6" t="n">
        <f aca="false">J56*2</f>
        <v>6.03402426402957</v>
      </c>
    </row>
    <row r="57" customFormat="false" ht="15" hidden="false" customHeight="false" outlineLevel="0" collapsed="false">
      <c r="A57" s="0" t="s">
        <v>123</v>
      </c>
      <c r="B57" s="0" t="n">
        <v>8014800</v>
      </c>
      <c r="C57" s="0" t="s">
        <v>26</v>
      </c>
      <c r="D57" s="0" t="s">
        <v>136</v>
      </c>
      <c r="E57" s="0" t="s">
        <v>137</v>
      </c>
      <c r="F57" s="0" t="n">
        <v>222</v>
      </c>
      <c r="G57" s="0" t="n">
        <v>180</v>
      </c>
      <c r="H57" s="5" t="n">
        <f aca="false">(G57-F57)/F57</f>
        <v>-0.189189189189189</v>
      </c>
      <c r="I57" s="5" t="n">
        <f aca="false">ABS(H57)</f>
        <v>0.189189189189189</v>
      </c>
      <c r="J57" s="6" t="n">
        <f aca="false">SQRT(2*(G57-F57)^2/(G57+F57))</f>
        <v>2.96245158660611</v>
      </c>
      <c r="K57" s="6" t="n">
        <f aca="false">J57*2</f>
        <v>5.92490317321223</v>
      </c>
    </row>
    <row r="58" customFormat="false" ht="15" hidden="false" customHeight="false" outlineLevel="0" collapsed="false">
      <c r="A58" s="0" t="s">
        <v>123</v>
      </c>
      <c r="B58" s="0" t="n">
        <v>8038800</v>
      </c>
      <c r="C58" s="0" t="s">
        <v>138</v>
      </c>
      <c r="D58" s="0" t="s">
        <v>129</v>
      </c>
      <c r="E58" s="0" t="s">
        <v>25</v>
      </c>
      <c r="F58" s="0" t="n">
        <v>576</v>
      </c>
      <c r="G58" s="0" t="n">
        <v>525</v>
      </c>
      <c r="H58" s="5" t="n">
        <f aca="false">(G58-F58)/F58</f>
        <v>-0.0885416666666667</v>
      </c>
      <c r="I58" s="5" t="n">
        <f aca="false">ABS(H58)</f>
        <v>0.0885416666666667</v>
      </c>
      <c r="J58" s="6" t="n">
        <f aca="false">SQRT(2*(G58-F58)^2/(G58+F58))</f>
        <v>2.17365950422944</v>
      </c>
      <c r="K58" s="6" t="n">
        <f aca="false">J58*2</f>
        <v>4.34731900845888</v>
      </c>
    </row>
    <row r="59" customFormat="false" ht="15" hidden="false" customHeight="false" outlineLevel="0" collapsed="false">
      <c r="A59" s="0" t="s">
        <v>123</v>
      </c>
      <c r="B59" s="0" t="n">
        <v>8020600</v>
      </c>
      <c r="C59" s="0" t="s">
        <v>139</v>
      </c>
      <c r="D59" s="0" t="s">
        <v>140</v>
      </c>
      <c r="E59" s="0" t="s">
        <v>55</v>
      </c>
      <c r="F59" s="0" t="n">
        <v>515</v>
      </c>
      <c r="G59" s="0" t="n">
        <v>472</v>
      </c>
      <c r="H59" s="5" t="n">
        <f aca="false">(G59-F59)/F59</f>
        <v>-0.083495145631068</v>
      </c>
      <c r="I59" s="5" t="n">
        <f aca="false">ABS(H59)</f>
        <v>0.083495145631068</v>
      </c>
      <c r="J59" s="6" t="n">
        <f aca="false">SQRT(2*(G59-F59)^2/(G59+F59))</f>
        <v>1.93564128740728</v>
      </c>
      <c r="K59" s="6" t="n">
        <f aca="false">J59*2</f>
        <v>3.87128257481456</v>
      </c>
    </row>
    <row r="60" customFormat="false" ht="15" hidden="false" customHeight="false" outlineLevel="0" collapsed="false">
      <c r="A60" s="0" t="s">
        <v>123</v>
      </c>
      <c r="B60" s="0" t="n">
        <v>8054100</v>
      </c>
      <c r="C60" s="0" t="s">
        <v>44</v>
      </c>
      <c r="D60" s="0" t="s">
        <v>141</v>
      </c>
      <c r="E60" s="0" t="s">
        <v>52</v>
      </c>
      <c r="F60" s="0" t="n">
        <v>242</v>
      </c>
      <c r="G60" s="0" t="n">
        <v>216</v>
      </c>
      <c r="H60" s="5" t="n">
        <f aca="false">(G60-F60)/F60</f>
        <v>-0.107438016528926</v>
      </c>
      <c r="I60" s="5" t="n">
        <f aca="false">ABS(H60)</f>
        <v>0.107438016528926</v>
      </c>
      <c r="J60" s="6" t="n">
        <f aca="false">SQRT(2*(G60-F60)^2/(G60+F60))</f>
        <v>1.71812836118323</v>
      </c>
      <c r="K60" s="6" t="n">
        <f aca="false">J60*2</f>
        <v>3.43625672236647</v>
      </c>
    </row>
    <row r="61" customFormat="false" ht="15" hidden="false" customHeight="false" outlineLevel="0" collapsed="false">
      <c r="A61" s="0" t="s">
        <v>123</v>
      </c>
      <c r="B61" s="0" t="n">
        <v>8005700</v>
      </c>
      <c r="C61" s="0" t="s">
        <v>142</v>
      </c>
      <c r="D61" s="0" t="s">
        <v>141</v>
      </c>
      <c r="E61" s="0" t="s">
        <v>25</v>
      </c>
      <c r="F61" s="0" t="n">
        <v>472</v>
      </c>
      <c r="G61" s="0" t="n">
        <v>440</v>
      </c>
      <c r="H61" s="5" t="n">
        <f aca="false">(G61-F61)/F61</f>
        <v>-0.0677966101694915</v>
      </c>
      <c r="I61" s="5" t="n">
        <f aca="false">ABS(H61)</f>
        <v>0.0677966101694915</v>
      </c>
      <c r="J61" s="6" t="n">
        <f aca="false">SQRT(2*(G61-F61)^2/(G61+F61))</f>
        <v>1.49853729853071</v>
      </c>
      <c r="K61" s="6" t="n">
        <f aca="false">J61*2</f>
        <v>2.99707459706142</v>
      </c>
    </row>
    <row r="62" customFormat="false" ht="15" hidden="false" customHeight="false" outlineLevel="0" collapsed="false">
      <c r="A62" s="0" t="s">
        <v>123</v>
      </c>
      <c r="B62" s="0" t="n">
        <v>8045400</v>
      </c>
      <c r="C62" s="0" t="s">
        <v>50</v>
      </c>
      <c r="D62" s="0" t="s">
        <v>143</v>
      </c>
      <c r="E62" s="0" t="s">
        <v>52</v>
      </c>
      <c r="F62" s="0" t="n">
        <v>295</v>
      </c>
      <c r="G62" s="0" t="n">
        <v>270</v>
      </c>
      <c r="H62" s="5" t="n">
        <f aca="false">(G62-F62)/F62</f>
        <v>-0.0847457627118644</v>
      </c>
      <c r="I62" s="5" t="n">
        <f aca="false">ABS(H62)</f>
        <v>0.0847457627118644</v>
      </c>
      <c r="J62" s="6" t="n">
        <f aca="false">SQRT(2*(G62-F62)^2/(G62+F62))</f>
        <v>1.48741029327182</v>
      </c>
      <c r="K62" s="6" t="n">
        <f aca="false">J62*2</f>
        <v>2.97482058654365</v>
      </c>
    </row>
    <row r="63" customFormat="false" ht="15" hidden="false" customHeight="false" outlineLevel="0" collapsed="false">
      <c r="A63" s="0" t="s">
        <v>123</v>
      </c>
      <c r="B63" s="0" t="n">
        <v>8057890</v>
      </c>
      <c r="C63" s="0" t="s">
        <v>64</v>
      </c>
      <c r="D63" s="0" t="s">
        <v>144</v>
      </c>
      <c r="E63" s="0" t="s">
        <v>55</v>
      </c>
      <c r="F63" s="0" t="n">
        <v>405</v>
      </c>
      <c r="G63" s="0" t="n">
        <v>433</v>
      </c>
      <c r="H63" s="5" t="n">
        <f aca="false">(G63-F63)/F63</f>
        <v>0.0691358024691358</v>
      </c>
      <c r="I63" s="5" t="n">
        <f aca="false">ABS(H63)</f>
        <v>0.0691358024691358</v>
      </c>
      <c r="J63" s="6" t="n">
        <f aca="false">SQRT(2*(G63-F63)^2/(G63+F63))</f>
        <v>1.36788951248889</v>
      </c>
      <c r="K63" s="6" t="n">
        <f aca="false">J63*2</f>
        <v>2.73577902497778</v>
      </c>
    </row>
    <row r="64" customFormat="false" ht="15" hidden="false" customHeight="false" outlineLevel="0" collapsed="false">
      <c r="A64" s="0" t="s">
        <v>123</v>
      </c>
      <c r="B64" s="0" t="n">
        <v>8008400</v>
      </c>
      <c r="C64" s="0" t="s">
        <v>145</v>
      </c>
      <c r="D64" s="0" t="s">
        <v>146</v>
      </c>
      <c r="E64" s="0" t="s">
        <v>92</v>
      </c>
      <c r="F64" s="0" t="n">
        <v>521</v>
      </c>
      <c r="G64" s="0" t="n">
        <v>552</v>
      </c>
      <c r="H64" s="5" t="n">
        <f aca="false">(G64-F64)/F64</f>
        <v>0.0595009596928983</v>
      </c>
      <c r="I64" s="5" t="n">
        <f aca="false">ABS(H64)</f>
        <v>0.0595009596928983</v>
      </c>
      <c r="J64" s="6" t="n">
        <f aca="false">SQRT(2*(G64-F64)^2/(G64+F64))</f>
        <v>1.33837196450667</v>
      </c>
      <c r="K64" s="6" t="n">
        <f aca="false">J64*2</f>
        <v>2.67674392901334</v>
      </c>
    </row>
    <row r="65" customFormat="false" ht="15" hidden="false" customHeight="false" outlineLevel="0" collapsed="false">
      <c r="A65" s="0" t="s">
        <v>123</v>
      </c>
      <c r="B65" s="0" t="n">
        <v>8024100</v>
      </c>
      <c r="C65" s="0" t="s">
        <v>147</v>
      </c>
      <c r="D65" s="0" t="s">
        <v>148</v>
      </c>
      <c r="E65" s="0" t="s">
        <v>25</v>
      </c>
      <c r="F65" s="0" t="n">
        <v>505</v>
      </c>
      <c r="G65" s="0" t="n">
        <v>535</v>
      </c>
      <c r="H65" s="5" t="n">
        <f aca="false">(G65-F65)/F65</f>
        <v>0.0594059405940594</v>
      </c>
      <c r="I65" s="5" t="n">
        <f aca="false">ABS(H65)</f>
        <v>0.0594059405940594</v>
      </c>
      <c r="J65" s="6" t="n">
        <f aca="false">SQRT(2*(G65-F65)^2/(G65+F65))</f>
        <v>1.31558702896054</v>
      </c>
      <c r="K65" s="6" t="n">
        <f aca="false">J65*2</f>
        <v>2.63117405792109</v>
      </c>
    </row>
    <row r="66" customFormat="false" ht="15" hidden="false" customHeight="false" outlineLevel="0" collapsed="false">
      <c r="A66" s="0" t="s">
        <v>123</v>
      </c>
      <c r="B66" s="0" t="n">
        <v>8023800</v>
      </c>
      <c r="C66" s="0" t="s">
        <v>149</v>
      </c>
      <c r="D66" s="0" t="s">
        <v>150</v>
      </c>
      <c r="E66" s="0" t="s">
        <v>35</v>
      </c>
      <c r="F66" s="0" t="n">
        <v>396</v>
      </c>
      <c r="G66" s="0" t="n">
        <v>375</v>
      </c>
      <c r="H66" s="5" t="n">
        <f aca="false">(G66-F66)/F66</f>
        <v>-0.053030303030303</v>
      </c>
      <c r="I66" s="5" t="n">
        <f aca="false">ABS(H66)</f>
        <v>0.053030303030303</v>
      </c>
      <c r="J66" s="6" t="n">
        <f aca="false">SQRT(2*(G66-F66)^2/(G66+F66))</f>
        <v>1.06956480476656</v>
      </c>
      <c r="K66" s="6" t="n">
        <f aca="false">J66*2</f>
        <v>2.13912960953312</v>
      </c>
    </row>
    <row r="67" customFormat="false" ht="15" hidden="false" customHeight="false" outlineLevel="0" collapsed="false">
      <c r="A67" s="0" t="s">
        <v>123</v>
      </c>
      <c r="B67" s="0" t="n">
        <v>8037200</v>
      </c>
      <c r="C67" s="0" t="s">
        <v>151</v>
      </c>
      <c r="D67" s="0" t="s">
        <v>152</v>
      </c>
      <c r="E67" s="0" t="s">
        <v>107</v>
      </c>
      <c r="F67" s="0" t="n">
        <v>113</v>
      </c>
      <c r="G67" s="0" t="n">
        <v>102</v>
      </c>
      <c r="H67" s="5" t="n">
        <f aca="false">(G67-F67)/F67</f>
        <v>-0.0973451327433628</v>
      </c>
      <c r="I67" s="5" t="n">
        <f aca="false">ABS(H67)</f>
        <v>0.0973451327433628</v>
      </c>
      <c r="J67" s="6" t="n">
        <f aca="false">SQRT(2*(G67-F67)^2/(G67+F67))</f>
        <v>1.06093420877491</v>
      </c>
      <c r="K67" s="6" t="n">
        <f aca="false">J67*2</f>
        <v>2.12186841754981</v>
      </c>
    </row>
    <row r="68" customFormat="false" ht="15" hidden="false" customHeight="false" outlineLevel="0" collapsed="false">
      <c r="A68" s="0" t="s">
        <v>123</v>
      </c>
      <c r="B68" s="0" t="n">
        <v>8051400</v>
      </c>
      <c r="C68" s="0" t="s">
        <v>87</v>
      </c>
      <c r="D68" s="0" t="s">
        <v>153</v>
      </c>
      <c r="E68" s="0" t="s">
        <v>89</v>
      </c>
      <c r="F68" s="0" t="n">
        <v>105</v>
      </c>
      <c r="G68" s="0" t="n">
        <v>116</v>
      </c>
      <c r="H68" s="5" t="n">
        <f aca="false">(G68-F68)/F68</f>
        <v>0.104761904761905</v>
      </c>
      <c r="I68" s="5" t="n">
        <f aca="false">ABS(H68)</f>
        <v>0.104761904761905</v>
      </c>
      <c r="J68" s="6" t="n">
        <f aca="false">SQRT(2*(G68-F68)^2/(G68+F68))</f>
        <v>1.04643328713989</v>
      </c>
      <c r="K68" s="6" t="n">
        <f aca="false">J68*2</f>
        <v>2.09286657427977</v>
      </c>
    </row>
    <row r="69" customFormat="false" ht="15" hidden="false" customHeight="false" outlineLevel="0" collapsed="false">
      <c r="A69" s="0" t="s">
        <v>123</v>
      </c>
      <c r="B69" s="0" t="n">
        <v>8052700</v>
      </c>
      <c r="C69" s="0" t="s">
        <v>154</v>
      </c>
      <c r="D69" s="0" t="s">
        <v>155</v>
      </c>
      <c r="E69" s="0" t="s">
        <v>156</v>
      </c>
      <c r="F69" s="0" t="n">
        <v>313</v>
      </c>
      <c r="G69" s="0" t="n">
        <v>295</v>
      </c>
      <c r="H69" s="5" t="n">
        <f aca="false">(G69-F69)/F69</f>
        <v>-0.0575079872204473</v>
      </c>
      <c r="I69" s="5" t="n">
        <f aca="false">ABS(H69)</f>
        <v>0.0575079872204473</v>
      </c>
      <c r="J69" s="6" t="n">
        <f aca="false">SQRT(2*(G69-F69)^2/(G69+F69))</f>
        <v>1.03237080241753</v>
      </c>
      <c r="K69" s="6" t="n">
        <f aca="false">J69*2</f>
        <v>2.06474160483506</v>
      </c>
    </row>
    <row r="70" customFormat="false" ht="15" hidden="false" customHeight="false" outlineLevel="0" collapsed="false">
      <c r="A70" s="0" t="s">
        <v>123</v>
      </c>
      <c r="B70" s="0" t="n">
        <v>8052000</v>
      </c>
      <c r="C70" s="0" t="s">
        <v>77</v>
      </c>
      <c r="D70" s="0" t="s">
        <v>157</v>
      </c>
      <c r="E70" s="0" t="s">
        <v>33</v>
      </c>
      <c r="F70" s="0" t="n">
        <v>93</v>
      </c>
      <c r="G70" s="0" t="n">
        <v>102</v>
      </c>
      <c r="H70" s="5" t="n">
        <f aca="false">(G70-F70)/F70</f>
        <v>0.0967741935483871</v>
      </c>
      <c r="I70" s="5" t="n">
        <f aca="false">ABS(H70)</f>
        <v>0.0967741935483871</v>
      </c>
      <c r="J70" s="6" t="n">
        <f aca="false">SQRT(2*(G70-F70)^2/(G70+F70))</f>
        <v>0.9114654303753</v>
      </c>
      <c r="K70" s="6" t="n">
        <f aca="false">J70*2</f>
        <v>1.8229308607506</v>
      </c>
    </row>
    <row r="71" customFormat="false" ht="15" hidden="false" customHeight="false" outlineLevel="0" collapsed="false">
      <c r="A71" s="0" t="s">
        <v>123</v>
      </c>
      <c r="B71" s="0" t="n">
        <v>8033400</v>
      </c>
      <c r="C71" s="0" t="s">
        <v>158</v>
      </c>
      <c r="D71" s="0" t="s">
        <v>159</v>
      </c>
      <c r="E71" s="0" t="s">
        <v>55</v>
      </c>
      <c r="F71" s="0" t="n">
        <v>292</v>
      </c>
      <c r="G71" s="0" t="n">
        <v>279</v>
      </c>
      <c r="H71" s="5" t="n">
        <f aca="false">(G71-F71)/F71</f>
        <v>-0.0445205479452055</v>
      </c>
      <c r="I71" s="5" t="n">
        <f aca="false">ABS(H71)</f>
        <v>0.0445205479452055</v>
      </c>
      <c r="J71" s="6" t="n">
        <f aca="false">SQRT(2*(G71-F71)^2/(G71+F71))</f>
        <v>0.769378943023837</v>
      </c>
      <c r="K71" s="6" t="n">
        <f aca="false">J71*2</f>
        <v>1.53875788604767</v>
      </c>
    </row>
    <row r="72" customFormat="false" ht="15" hidden="false" customHeight="false" outlineLevel="0" collapsed="false">
      <c r="A72" s="0" t="s">
        <v>123</v>
      </c>
      <c r="B72" s="0" t="n">
        <v>8024800</v>
      </c>
      <c r="C72" s="0" t="s">
        <v>160</v>
      </c>
      <c r="D72" s="0" t="s">
        <v>161</v>
      </c>
      <c r="E72" s="0" t="s">
        <v>52</v>
      </c>
      <c r="F72" s="0" t="n">
        <v>477</v>
      </c>
      <c r="G72" s="0" t="n">
        <v>461</v>
      </c>
      <c r="H72" s="5" t="n">
        <f aca="false">(G72-F72)/F72</f>
        <v>-0.0335429769392034</v>
      </c>
      <c r="I72" s="5" t="n">
        <f aca="false">ABS(H72)</f>
        <v>0.0335429769392034</v>
      </c>
      <c r="J72" s="6" t="n">
        <f aca="false">SQRT(2*(G72-F72)^2/(G72+F72))</f>
        <v>0.738811354463376</v>
      </c>
      <c r="K72" s="6" t="n">
        <f aca="false">J72*2</f>
        <v>1.47762270892675</v>
      </c>
    </row>
    <row r="73" customFormat="false" ht="15" hidden="false" customHeight="false" outlineLevel="0" collapsed="false">
      <c r="A73" s="0" t="s">
        <v>123</v>
      </c>
      <c r="B73" s="0" t="n">
        <v>9010690</v>
      </c>
      <c r="C73" s="0" t="s">
        <v>31</v>
      </c>
      <c r="D73" s="0" t="s">
        <v>162</v>
      </c>
      <c r="E73" s="0" t="s">
        <v>33</v>
      </c>
      <c r="F73" s="0" t="n">
        <v>339</v>
      </c>
      <c r="G73" s="0" t="n">
        <v>327</v>
      </c>
      <c r="H73" s="5" t="n">
        <f aca="false">(G73-F73)/F73</f>
        <v>-0.0353982300884956</v>
      </c>
      <c r="I73" s="5" t="n">
        <f aca="false">ABS(H73)</f>
        <v>0.0353982300884956</v>
      </c>
      <c r="J73" s="6" t="n">
        <f aca="false">SQRT(2*(G73-F73)^2/(G73+F73))</f>
        <v>0.657595949221429</v>
      </c>
      <c r="K73" s="6" t="n">
        <f aca="false">J73*2</f>
        <v>1.31519189844286</v>
      </c>
    </row>
    <row r="74" customFormat="false" ht="15" hidden="false" customHeight="false" outlineLevel="0" collapsed="false">
      <c r="A74" s="0" t="s">
        <v>123</v>
      </c>
      <c r="B74" s="0" t="n">
        <v>8025900</v>
      </c>
      <c r="C74" s="0" t="s">
        <v>163</v>
      </c>
      <c r="D74" s="0" t="s">
        <v>164</v>
      </c>
      <c r="E74" s="0" t="s">
        <v>35</v>
      </c>
      <c r="F74" s="0" t="n">
        <v>520</v>
      </c>
      <c r="G74" s="0" t="n">
        <v>506</v>
      </c>
      <c r="H74" s="5" t="n">
        <f aca="false">(G74-F74)/F74</f>
        <v>-0.0269230769230769</v>
      </c>
      <c r="I74" s="5" t="n">
        <f aca="false">ABS(H74)</f>
        <v>0.0269230769230769</v>
      </c>
      <c r="J74" s="6" t="n">
        <f aca="false">SQRT(2*(G74-F74)^2/(G74+F74))</f>
        <v>0.618115099963687</v>
      </c>
      <c r="K74" s="6" t="n">
        <f aca="false">J74*2</f>
        <v>1.23623019992737</v>
      </c>
    </row>
    <row r="75" customFormat="false" ht="15" hidden="false" customHeight="false" outlineLevel="0" collapsed="false">
      <c r="A75" s="0" t="s">
        <v>123</v>
      </c>
      <c r="B75" s="0" t="n">
        <v>8030800</v>
      </c>
      <c r="C75" s="0" t="s">
        <v>67</v>
      </c>
      <c r="D75" s="0" t="s">
        <v>141</v>
      </c>
      <c r="E75" s="0" t="s">
        <v>49</v>
      </c>
      <c r="F75" s="0" t="n">
        <v>396</v>
      </c>
      <c r="G75" s="0" t="n">
        <v>408</v>
      </c>
      <c r="H75" s="5" t="n">
        <f aca="false">(G75-F75)/F75</f>
        <v>0.0303030303030303</v>
      </c>
      <c r="I75" s="5" t="n">
        <f aca="false">ABS(H75)</f>
        <v>0.0303030303030303</v>
      </c>
      <c r="J75" s="6" t="n">
        <f aca="false">SQRT(2*(G75-F75)^2/(G75+F75))</f>
        <v>0.59850560166458</v>
      </c>
      <c r="K75" s="6" t="n">
        <f aca="false">J75*2</f>
        <v>1.19701120332916</v>
      </c>
    </row>
    <row r="76" customFormat="false" ht="15" hidden="false" customHeight="false" outlineLevel="0" collapsed="false">
      <c r="A76" s="0" t="s">
        <v>123</v>
      </c>
      <c r="B76" s="0" t="n">
        <v>8040000</v>
      </c>
      <c r="C76" s="0" t="s">
        <v>165</v>
      </c>
      <c r="D76" s="0" t="s">
        <v>166</v>
      </c>
      <c r="E76" s="0" t="s">
        <v>166</v>
      </c>
      <c r="F76" s="0" t="n">
        <v>478</v>
      </c>
      <c r="G76" s="0" t="n">
        <v>491</v>
      </c>
      <c r="H76" s="5" t="n">
        <f aca="false">(G76-F76)/F76</f>
        <v>0.0271966527196653</v>
      </c>
      <c r="I76" s="5" t="n">
        <f aca="false">ABS(H76)</f>
        <v>0.0271966527196653</v>
      </c>
      <c r="J76" s="6" t="n">
        <f aca="false">SQRT(2*(G76-F76)^2/(G76+F76))</f>
        <v>0.590604105551531</v>
      </c>
      <c r="K76" s="6" t="n">
        <f aca="false">J76*2</f>
        <v>1.18120821110306</v>
      </c>
    </row>
    <row r="77" customFormat="false" ht="15" hidden="false" customHeight="false" outlineLevel="0" collapsed="false">
      <c r="A77" s="0" t="s">
        <v>123</v>
      </c>
      <c r="B77" s="0" t="n">
        <v>8052100</v>
      </c>
      <c r="C77" s="0" t="s">
        <v>101</v>
      </c>
      <c r="D77" s="0" t="s">
        <v>102</v>
      </c>
      <c r="E77" s="0" t="s">
        <v>25</v>
      </c>
      <c r="F77" s="0" t="n">
        <v>273</v>
      </c>
      <c r="G77" s="0" t="n">
        <v>264</v>
      </c>
      <c r="H77" s="5" t="n">
        <f aca="false">(G77-F77)/F77</f>
        <v>-0.032967032967033</v>
      </c>
      <c r="I77" s="5" t="n">
        <f aca="false">ABS(H77)</f>
        <v>0.032967032967033</v>
      </c>
      <c r="J77" s="6" t="n">
        <f aca="false">SQRT(2*(G77-F77)^2/(G77+F77))</f>
        <v>0.549250377927618</v>
      </c>
      <c r="K77" s="6" t="n">
        <f aca="false">J77*2</f>
        <v>1.09850075585524</v>
      </c>
    </row>
    <row r="78" customFormat="false" ht="15" hidden="false" customHeight="false" outlineLevel="0" collapsed="false">
      <c r="A78" s="0" t="s">
        <v>123</v>
      </c>
      <c r="B78" s="0" t="n">
        <v>8056000</v>
      </c>
      <c r="C78" s="0" t="s">
        <v>167</v>
      </c>
      <c r="D78" s="0" t="s">
        <v>168</v>
      </c>
      <c r="E78" s="0" t="s">
        <v>33</v>
      </c>
      <c r="F78" s="0" t="n">
        <v>213</v>
      </c>
      <c r="G78" s="0" t="n">
        <v>206</v>
      </c>
      <c r="H78" s="5" t="n">
        <f aca="false">(G78-F78)/F78</f>
        <v>-0.0328638497652582</v>
      </c>
      <c r="I78" s="5" t="n">
        <f aca="false">ABS(H78)</f>
        <v>0.0328638497652582</v>
      </c>
      <c r="J78" s="6" t="n">
        <f aca="false">SQRT(2*(G78-F78)^2/(G78+F78))</f>
        <v>0.483621975097427</v>
      </c>
      <c r="K78" s="6" t="n">
        <f aca="false">J78*2</f>
        <v>0.967243950194853</v>
      </c>
    </row>
    <row r="79" customFormat="false" ht="15" hidden="false" customHeight="false" outlineLevel="0" collapsed="false">
      <c r="A79" s="0" t="s">
        <v>123</v>
      </c>
      <c r="B79" s="0" t="n">
        <v>8026000</v>
      </c>
      <c r="C79" s="0" t="s">
        <v>169</v>
      </c>
      <c r="D79" s="0" t="s">
        <v>170</v>
      </c>
      <c r="E79" s="0" t="s">
        <v>33</v>
      </c>
      <c r="F79" s="0" t="n">
        <v>385</v>
      </c>
      <c r="G79" s="0" t="n">
        <v>394</v>
      </c>
      <c r="H79" s="5" t="n">
        <f aca="false">(G79-F79)/F79</f>
        <v>0.0233766233766234</v>
      </c>
      <c r="I79" s="5" t="n">
        <f aca="false">ABS(H79)</f>
        <v>0.0233766233766234</v>
      </c>
      <c r="J79" s="6" t="n">
        <f aca="false">SQRT(2*(G79-F79)^2/(G79+F79))</f>
        <v>0.456025132744326</v>
      </c>
      <c r="K79" s="6" t="n">
        <f aca="false">J79*2</f>
        <v>0.912050265488652</v>
      </c>
    </row>
    <row r="80" customFormat="false" ht="15" hidden="false" customHeight="false" outlineLevel="0" collapsed="false">
      <c r="A80" s="0" t="s">
        <v>123</v>
      </c>
      <c r="B80" s="0" t="n">
        <v>8037000</v>
      </c>
      <c r="C80" s="0" t="s">
        <v>171</v>
      </c>
      <c r="D80" s="0" t="s">
        <v>135</v>
      </c>
      <c r="E80" s="0" t="s">
        <v>49</v>
      </c>
      <c r="F80" s="0" t="n">
        <v>476</v>
      </c>
      <c r="G80" s="0" t="n">
        <v>486</v>
      </c>
      <c r="H80" s="5" t="n">
        <f aca="false">(G80-F80)/F80</f>
        <v>0.0210084033613445</v>
      </c>
      <c r="I80" s="5" t="n">
        <f aca="false">ABS(H80)</f>
        <v>0.0210084033613445</v>
      </c>
      <c r="J80" s="6" t="n">
        <f aca="false">SQRT(2*(G80-F80)^2/(G80+F80))</f>
        <v>0.455960752587553</v>
      </c>
      <c r="K80" s="6" t="n">
        <f aca="false">J80*2</f>
        <v>0.911921505175106</v>
      </c>
    </row>
    <row r="81" customFormat="false" ht="15" hidden="false" customHeight="false" outlineLevel="0" collapsed="false">
      <c r="A81" s="0" t="s">
        <v>123</v>
      </c>
      <c r="B81" s="0" t="n">
        <v>8049100</v>
      </c>
      <c r="C81" s="0" t="s">
        <v>72</v>
      </c>
      <c r="D81" s="0" t="s">
        <v>172</v>
      </c>
      <c r="E81" s="0" t="s">
        <v>52</v>
      </c>
      <c r="F81" s="0" t="n">
        <v>514</v>
      </c>
      <c r="G81" s="0" t="n">
        <v>504</v>
      </c>
      <c r="H81" s="5" t="n">
        <f aca="false">(G81-F81)/F81</f>
        <v>-0.0194552529182879</v>
      </c>
      <c r="I81" s="5" t="n">
        <f aca="false">ABS(H81)</f>
        <v>0.0194552529182879</v>
      </c>
      <c r="J81" s="6" t="n">
        <f aca="false">SQRT(2*(G81-F81)^2/(G81+F81))</f>
        <v>0.443242207177936</v>
      </c>
      <c r="K81" s="6" t="n">
        <f aca="false">J81*2</f>
        <v>0.886484414355872</v>
      </c>
    </row>
    <row r="82" customFormat="false" ht="15" hidden="false" customHeight="false" outlineLevel="0" collapsed="false">
      <c r="A82" s="0" t="s">
        <v>123</v>
      </c>
      <c r="B82" s="0" t="n">
        <v>9010695</v>
      </c>
      <c r="C82" s="0" t="s">
        <v>34</v>
      </c>
      <c r="D82" s="0" t="s">
        <v>162</v>
      </c>
      <c r="E82" s="0" t="s">
        <v>35</v>
      </c>
      <c r="F82" s="0" t="n">
        <v>574</v>
      </c>
      <c r="G82" s="0" t="n">
        <v>583</v>
      </c>
      <c r="H82" s="5" t="n">
        <f aca="false">(G82-F82)/F82</f>
        <v>0.0156794425087108</v>
      </c>
      <c r="I82" s="5" t="n">
        <f aca="false">ABS(H82)</f>
        <v>0.0156794425087108</v>
      </c>
      <c r="J82" s="6" t="n">
        <f aca="false">SQRT(2*(G82-F82)^2/(G82+F82))</f>
        <v>0.374188837466729</v>
      </c>
      <c r="K82" s="6" t="n">
        <f aca="false">J82*2</f>
        <v>0.748377674933457</v>
      </c>
    </row>
    <row r="83" customFormat="false" ht="15" hidden="false" customHeight="false" outlineLevel="0" collapsed="false">
      <c r="A83" s="0" t="s">
        <v>123</v>
      </c>
      <c r="B83" s="0" t="n">
        <v>8058010</v>
      </c>
      <c r="C83" s="0" t="s">
        <v>56</v>
      </c>
      <c r="D83" s="0" t="s">
        <v>173</v>
      </c>
      <c r="E83" s="0" t="s">
        <v>49</v>
      </c>
      <c r="F83" s="0" t="n">
        <v>437</v>
      </c>
      <c r="G83" s="0" t="n">
        <v>431</v>
      </c>
      <c r="H83" s="5" t="n">
        <f aca="false">(G83-F83)/F83</f>
        <v>-0.0137299771167048</v>
      </c>
      <c r="I83" s="5" t="n">
        <f aca="false">ABS(H83)</f>
        <v>0.0137299771167048</v>
      </c>
      <c r="J83" s="6" t="n">
        <f aca="false">SQRT(2*(G83-F83)^2/(G83+F83))</f>
        <v>0.288009216442392</v>
      </c>
      <c r="K83" s="6" t="n">
        <f aca="false">J83*2</f>
        <v>0.576018432884783</v>
      </c>
    </row>
    <row r="84" customFormat="false" ht="15" hidden="false" customHeight="false" outlineLevel="0" collapsed="false">
      <c r="A84" s="0" t="s">
        <v>123</v>
      </c>
      <c r="B84" s="0" t="n">
        <v>8025600</v>
      </c>
      <c r="C84" s="0" t="s">
        <v>174</v>
      </c>
      <c r="D84" s="0" t="s">
        <v>175</v>
      </c>
      <c r="E84" s="0" t="s">
        <v>33</v>
      </c>
      <c r="F84" s="0" t="n">
        <v>385</v>
      </c>
      <c r="G84" s="0" t="n">
        <v>380</v>
      </c>
      <c r="H84" s="5" t="n">
        <f aca="false">(G84-F84)/F84</f>
        <v>-0.012987012987013</v>
      </c>
      <c r="I84" s="5" t="n">
        <f aca="false">ABS(H84)</f>
        <v>0.012987012987013</v>
      </c>
      <c r="J84" s="6" t="n">
        <f aca="false">SQRT(2*(G84-F84)^2/(G84+F84))</f>
        <v>0.255654996282457</v>
      </c>
      <c r="K84" s="6" t="n">
        <f aca="false">J84*2</f>
        <v>0.511309992564914</v>
      </c>
    </row>
    <row r="85" customFormat="false" ht="15" hidden="false" customHeight="false" outlineLevel="0" collapsed="false">
      <c r="A85" s="0" t="s">
        <v>123</v>
      </c>
      <c r="B85" s="0" t="n">
        <v>8038300</v>
      </c>
      <c r="C85" s="0" t="s">
        <v>176</v>
      </c>
      <c r="D85" s="0" t="s">
        <v>177</v>
      </c>
      <c r="E85" s="0" t="s">
        <v>49</v>
      </c>
      <c r="F85" s="0" t="n">
        <v>435</v>
      </c>
      <c r="G85" s="0" t="n">
        <v>430</v>
      </c>
      <c r="H85" s="5" t="n">
        <f aca="false">(G85-F85)/F85</f>
        <v>-0.0114942528735632</v>
      </c>
      <c r="I85" s="5" t="n">
        <f aca="false">ABS(H85)</f>
        <v>0.0114942528735632</v>
      </c>
      <c r="J85" s="6" t="n">
        <f aca="false">SQRT(2*(G85-F85)^2/(G85+F85))</f>
        <v>0.240423518417173</v>
      </c>
      <c r="K85" s="6" t="n">
        <f aca="false">J85*2</f>
        <v>0.480847036834345</v>
      </c>
    </row>
    <row r="86" customFormat="false" ht="15" hidden="false" customHeight="false" outlineLevel="0" collapsed="false">
      <c r="A86" s="0" t="s">
        <v>123</v>
      </c>
      <c r="B86" s="0" t="n">
        <v>8044600</v>
      </c>
      <c r="C86" s="0" t="s">
        <v>178</v>
      </c>
      <c r="D86" s="0" t="s">
        <v>129</v>
      </c>
      <c r="E86" s="0" t="s">
        <v>52</v>
      </c>
      <c r="F86" s="0" t="n">
        <v>471</v>
      </c>
      <c r="G86" s="0" t="n">
        <v>466</v>
      </c>
      <c r="H86" s="5" t="n">
        <f aca="false">(G86-F86)/F86</f>
        <v>-0.0106157112526539</v>
      </c>
      <c r="I86" s="5" t="n">
        <f aca="false">ABS(H86)</f>
        <v>0.0106157112526539</v>
      </c>
      <c r="J86" s="6" t="n">
        <f aca="false">SQRT(2*(G86-F86)^2/(G86+F86))</f>
        <v>0.231001716349129</v>
      </c>
      <c r="K86" s="6" t="n">
        <f aca="false">J86*2</f>
        <v>0.462003432698258</v>
      </c>
    </row>
    <row r="87" customFormat="false" ht="15" hidden="false" customHeight="false" outlineLevel="0" collapsed="false">
      <c r="A87" s="0" t="s">
        <v>123</v>
      </c>
      <c r="B87" s="0" t="n">
        <v>8031600</v>
      </c>
      <c r="C87" s="0" t="s">
        <v>179</v>
      </c>
      <c r="D87" s="0" t="s">
        <v>180</v>
      </c>
      <c r="E87" s="0" t="s">
        <v>92</v>
      </c>
      <c r="F87" s="0" t="n">
        <v>301</v>
      </c>
      <c r="G87" s="0" t="n">
        <v>305</v>
      </c>
      <c r="H87" s="5" t="n">
        <f aca="false">(G87-F87)/F87</f>
        <v>0.0132890365448505</v>
      </c>
      <c r="I87" s="5" t="n">
        <f aca="false">ABS(H87)</f>
        <v>0.0132890365448505</v>
      </c>
      <c r="J87" s="6" t="n">
        <f aca="false">SQRT(2*(G87-F87)^2/(G87+F87))</f>
        <v>0.22979399584857</v>
      </c>
      <c r="K87" s="6" t="n">
        <f aca="false">J87*2</f>
        <v>0.459587991697141</v>
      </c>
    </row>
    <row r="88" customFormat="false" ht="15" hidden="false" customHeight="false" outlineLevel="0" collapsed="false">
      <c r="A88" s="0" t="s">
        <v>123</v>
      </c>
      <c r="B88" s="0" t="n">
        <v>8057600</v>
      </c>
      <c r="C88" s="0" t="s">
        <v>181</v>
      </c>
      <c r="D88" s="0" t="s">
        <v>182</v>
      </c>
      <c r="E88" s="0" t="s">
        <v>49</v>
      </c>
      <c r="F88" s="0" t="n">
        <v>601</v>
      </c>
      <c r="G88" s="0" t="n">
        <v>596</v>
      </c>
      <c r="H88" s="5" t="n">
        <f aca="false">(G88-F88)/F88</f>
        <v>-0.00831946755407654</v>
      </c>
      <c r="I88" s="5" t="n">
        <f aca="false">ABS(H88)</f>
        <v>0.00831946755407654</v>
      </c>
      <c r="J88" s="6" t="n">
        <f aca="false">SQRT(2*(G88-F88)^2/(G88+F88))</f>
        <v>0.204379779828322</v>
      </c>
      <c r="K88" s="6" t="n">
        <f aca="false">J88*2</f>
        <v>0.408759559656644</v>
      </c>
    </row>
    <row r="89" customFormat="false" ht="15" hidden="false" customHeight="false" outlineLevel="0" collapsed="false">
      <c r="A89" s="0" t="s">
        <v>123</v>
      </c>
      <c r="B89" s="0" t="n">
        <v>8026600</v>
      </c>
      <c r="C89" s="0" t="s">
        <v>183</v>
      </c>
      <c r="D89" s="0" t="s">
        <v>177</v>
      </c>
      <c r="E89" s="0" t="s">
        <v>55</v>
      </c>
      <c r="F89" s="0" t="n">
        <v>402</v>
      </c>
      <c r="G89" s="0" t="n">
        <v>406</v>
      </c>
      <c r="H89" s="5" t="n">
        <f aca="false">(G89-F89)/F89</f>
        <v>0.00995024875621891</v>
      </c>
      <c r="I89" s="5" t="n">
        <f aca="false">ABS(H89)</f>
        <v>0.00995024875621891</v>
      </c>
      <c r="J89" s="6" t="n">
        <f aca="false">SQRT(2*(G89-F89)^2/(G89+F89))</f>
        <v>0.199007438041998</v>
      </c>
      <c r="K89" s="6" t="n">
        <f aca="false">J89*2</f>
        <v>0.398014876083996</v>
      </c>
    </row>
    <row r="90" customFormat="false" ht="15" hidden="false" customHeight="false" outlineLevel="0" collapsed="false">
      <c r="A90" s="0" t="s">
        <v>123</v>
      </c>
      <c r="B90" s="0" t="n">
        <v>8057550</v>
      </c>
      <c r="C90" s="0" t="s">
        <v>184</v>
      </c>
      <c r="D90" s="0" t="s">
        <v>182</v>
      </c>
      <c r="E90" s="0" t="s">
        <v>52</v>
      </c>
      <c r="F90" s="0" t="n">
        <v>431</v>
      </c>
      <c r="G90" s="0" t="n">
        <v>428</v>
      </c>
      <c r="H90" s="5" t="n">
        <f aca="false">(G90-F90)/F90</f>
        <v>-0.00696055684454756</v>
      </c>
      <c r="I90" s="5" t="n">
        <f aca="false">ABS(H90)</f>
        <v>0.00696055684454756</v>
      </c>
      <c r="J90" s="6" t="n">
        <f aca="false">SQRT(2*(G90-F90)^2/(G90+F90))</f>
        <v>0.144757032196014</v>
      </c>
      <c r="K90" s="6" t="n">
        <f aca="false">J90*2</f>
        <v>0.289514064392029</v>
      </c>
    </row>
    <row r="91" customFormat="false" ht="15" hidden="false" customHeight="false" outlineLevel="0" collapsed="false">
      <c r="A91" s="0" t="s">
        <v>123</v>
      </c>
      <c r="B91" s="0" t="n">
        <v>8051900</v>
      </c>
      <c r="C91" s="0" t="s">
        <v>23</v>
      </c>
      <c r="D91" s="0" t="s">
        <v>136</v>
      </c>
      <c r="E91" s="0" t="s">
        <v>33</v>
      </c>
      <c r="F91" s="0" t="n">
        <v>209</v>
      </c>
      <c r="G91" s="0" t="n">
        <v>211</v>
      </c>
      <c r="H91" s="5" t="n">
        <f aca="false">(G91-F91)/F91</f>
        <v>0.00956937799043062</v>
      </c>
      <c r="I91" s="5" t="n">
        <f aca="false">ABS(H91)</f>
        <v>0.00956937799043062</v>
      </c>
      <c r="J91" s="6" t="n">
        <f aca="false">SQRT(2*(G91-F91)^2/(G91+F91))</f>
        <v>0.138013111868471</v>
      </c>
      <c r="K91" s="6" t="n">
        <f aca="false">J91*2</f>
        <v>0.276026223736942</v>
      </c>
    </row>
    <row r="92" customFormat="false" ht="15" hidden="false" customHeight="false" outlineLevel="0" collapsed="false">
      <c r="A92" s="0" t="s">
        <v>123</v>
      </c>
      <c r="B92" s="0" t="n">
        <v>8033300</v>
      </c>
      <c r="C92" s="0" t="s">
        <v>185</v>
      </c>
      <c r="D92" s="0" t="s">
        <v>186</v>
      </c>
      <c r="E92" s="0" t="s">
        <v>55</v>
      </c>
      <c r="F92" s="0" t="n">
        <v>431</v>
      </c>
      <c r="G92" s="0" t="n">
        <v>429</v>
      </c>
      <c r="H92" s="5" t="n">
        <f aca="false">(G92-F92)/F92</f>
        <v>-0.00464037122969838</v>
      </c>
      <c r="I92" s="5" t="n">
        <f aca="false">ABS(H92)</f>
        <v>0.00464037122969838</v>
      </c>
      <c r="J92" s="6" t="n">
        <f aca="false">SQRT(2*(G92-F92)^2/(G92+F92))</f>
        <v>0.0964485644340824</v>
      </c>
      <c r="K92" s="6" t="n">
        <f aca="false">J92*2</f>
        <v>0.192897128868165</v>
      </c>
    </row>
    <row r="93" customFormat="false" ht="15" hidden="false" customHeight="false" outlineLevel="0" collapsed="false">
      <c r="A93" s="0" t="s">
        <v>123</v>
      </c>
      <c r="B93" s="0" t="n">
        <v>8037300</v>
      </c>
      <c r="C93" s="0" t="s">
        <v>111</v>
      </c>
      <c r="D93" s="0" t="s">
        <v>153</v>
      </c>
      <c r="E93" s="0" t="s">
        <v>33</v>
      </c>
      <c r="F93" s="0" t="n">
        <v>223</v>
      </c>
      <c r="G93" s="0" t="n">
        <v>222</v>
      </c>
      <c r="H93" s="5" t="n">
        <f aca="false">(G93-F93)/F93</f>
        <v>-0.00448430493273543</v>
      </c>
      <c r="I93" s="5" t="n">
        <f aca="false">ABS(H93)</f>
        <v>0.00448430493273543</v>
      </c>
      <c r="J93" s="6" t="n">
        <f aca="false">SQRT(2*(G93-F93)^2/(G93+F93))</f>
        <v>0.0670401523153991</v>
      </c>
      <c r="K93" s="6" t="n">
        <f aca="false">J93*2</f>
        <v>0.134080304630798</v>
      </c>
    </row>
    <row r="94" customFormat="false" ht="15" hidden="false" customHeight="false" outlineLevel="0" collapsed="false">
      <c r="A94" s="0" t="s">
        <v>123</v>
      </c>
      <c r="B94" s="0" t="n">
        <v>8026100</v>
      </c>
      <c r="C94" s="0" t="s">
        <v>41</v>
      </c>
      <c r="D94" s="0" t="s">
        <v>170</v>
      </c>
      <c r="E94" s="0" t="s">
        <v>35</v>
      </c>
      <c r="F94" s="0" t="n">
        <v>621</v>
      </c>
      <c r="G94" s="0" t="n">
        <v>620</v>
      </c>
      <c r="H94" s="5" t="n">
        <f aca="false">(G94-F94)/F94</f>
        <v>-0.00161030595813205</v>
      </c>
      <c r="I94" s="5" t="n">
        <f aca="false">ABS(H94)</f>
        <v>0.00161030595813205</v>
      </c>
      <c r="J94" s="6" t="n">
        <f aca="false">SQRT(2*(G94-F94)^2/(G94+F94))</f>
        <v>0.040144782295185</v>
      </c>
      <c r="K94" s="6" t="n">
        <f aca="false">J94*2</f>
        <v>0.08028956459037</v>
      </c>
    </row>
    <row r="95" customFormat="false" ht="15" hidden="false" customHeight="false" outlineLevel="0" collapsed="false">
      <c r="A95" s="0" t="s">
        <v>123</v>
      </c>
      <c r="B95" s="0" t="n">
        <v>8026800</v>
      </c>
      <c r="C95" s="0" t="s">
        <v>187</v>
      </c>
      <c r="D95" s="0" t="s">
        <v>164</v>
      </c>
      <c r="E95" s="0" t="s">
        <v>188</v>
      </c>
      <c r="F95" s="0" t="n">
        <v>226</v>
      </c>
      <c r="G95" s="0" t="n">
        <v>226</v>
      </c>
      <c r="H95" s="5" t="n">
        <f aca="false">(G95-F95)/F95</f>
        <v>0</v>
      </c>
      <c r="I95" s="5" t="n">
        <f aca="false">ABS(H95)</f>
        <v>0</v>
      </c>
      <c r="J95" s="6" t="n">
        <f aca="false">SQRT(2*(G95-F95)^2/(G95+F95))</f>
        <v>0</v>
      </c>
      <c r="K95" s="6" t="n">
        <f aca="false">J95*2</f>
        <v>0</v>
      </c>
    </row>
    <row r="96" customFormat="false" ht="15" hidden="false" customHeight="false" outlineLevel="0" collapsed="false">
      <c r="A96" s="0" t="s">
        <v>123</v>
      </c>
      <c r="B96" s="0" t="n">
        <v>9010720</v>
      </c>
      <c r="C96" s="0" t="s">
        <v>189</v>
      </c>
      <c r="D96" s="0" t="s">
        <v>190</v>
      </c>
      <c r="E96" s="0" t="s">
        <v>118</v>
      </c>
      <c r="F96" s="0" t="n">
        <v>585</v>
      </c>
      <c r="G96" s="0" t="n">
        <v>585</v>
      </c>
      <c r="H96" s="5" t="n">
        <f aca="false">(G96-F96)/F96</f>
        <v>0</v>
      </c>
      <c r="I96" s="5" t="n">
        <f aca="false">ABS(H96)</f>
        <v>0</v>
      </c>
      <c r="J96" s="6" t="n">
        <f aca="false">SQRT(2*(G96-F96)^2/(G96+F96))</f>
        <v>0</v>
      </c>
      <c r="K96" s="6" t="n">
        <f aca="false">J96*2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D73" colorId="64" zoomScale="100" zoomScaleNormal="100" zoomScalePageLayoutView="100" workbookViewId="0">
      <selection pane="topLeft" activeCell="S81" activeCellId="0" sqref="S8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5"/>
  </cols>
  <sheetData>
    <row r="1" customFormat="false" ht="16.15" hidden="false" customHeight="false" outlineLevel="0" collapsed="false">
      <c r="A1" s="7" t="s">
        <v>191</v>
      </c>
      <c r="B1" s="7"/>
      <c r="C1" s="7"/>
    </row>
    <row r="2" customFormat="false" ht="27.75" hidden="false" customHeight="true" outlineLevel="0" collapsed="false">
      <c r="A2" s="8" t="s">
        <v>192</v>
      </c>
      <c r="B2" s="8"/>
      <c r="C2" s="8"/>
    </row>
    <row r="4" customFormat="false" ht="15" hidden="false" customHeight="false" outlineLevel="0" collapsed="false">
      <c r="A4" s="4" t="s">
        <v>193</v>
      </c>
      <c r="B4" s="4" t="s">
        <v>22</v>
      </c>
      <c r="C4" s="4" t="s">
        <v>123</v>
      </c>
    </row>
    <row r="5" customFormat="false" ht="15" hidden="false" customHeight="false" outlineLevel="0" collapsed="false">
      <c r="A5" s="0" t="s">
        <v>194</v>
      </c>
      <c r="B5" s="9" t="n">
        <f aca="false">COUNTIFS(TMC_Data[Round],"Baseline")</f>
        <v>48</v>
      </c>
      <c r="C5" s="9" t="n">
        <f aca="false">COUNTIFS(TMC_Data[Round],"1st Calibration")</f>
        <v>47</v>
      </c>
    </row>
    <row r="6" customFormat="false" ht="15" hidden="false" customHeight="false" outlineLevel="0" collapsed="false">
      <c r="A6" s="0" t="s">
        <v>195</v>
      </c>
      <c r="B6" s="5" t="n">
        <f aca="false">AVERAGEIFS(TMC_Data[Pct_Diff],TMC_Data[Round],"Baseline")</f>
        <v>-0.0209920571385789</v>
      </c>
      <c r="C6" s="5" t="n">
        <f aca="false">AVERAGEIFS(TMC_Data[Pct_Diff],TMC_Data[Round],"1st Calibration")</f>
        <v>-0.0425105215400157</v>
      </c>
    </row>
    <row r="7" customFormat="false" ht="15" hidden="false" customHeight="false" outlineLevel="0" collapsed="false">
      <c r="A7" s="0" t="s">
        <v>196</v>
      </c>
      <c r="B7" s="5" t="n">
        <f aca="false">AVERAGEIFS(TMC_Data[Abs_Pct_Diff],TMC_Data[Round],"Baseline")</f>
        <v>0.107921988623105</v>
      </c>
      <c r="C7" s="5" t="n">
        <f aca="false">AVERAGEIFS(TMC_Data[Abs_Pct_Diff],TMC_Data[Round],"1st Calibration")</f>
        <v>0.0825539741078386</v>
      </c>
    </row>
    <row r="8" customFormat="false" ht="15" hidden="false" customHeight="false" outlineLevel="0" collapsed="false">
      <c r="A8" s="0" t="s">
        <v>197</v>
      </c>
      <c r="B8" s="6" t="n">
        <f aca="false">AVERAGEIFS(TMC_Data[GEH_15min],TMC_Data[Round],"Baseline")</f>
        <v>1.85120431127213</v>
      </c>
      <c r="C8" s="6" t="n">
        <f aca="false">AVERAGEIFS(TMC_Data[GEH_15min],TMC_Data[Round],"1st Calibration")</f>
        <v>1.6069919413422</v>
      </c>
    </row>
    <row r="9" customFormat="false" ht="15" hidden="false" customHeight="false" outlineLevel="0" collapsed="false">
      <c r="A9" s="0" t="s">
        <v>198</v>
      </c>
      <c r="B9" s="6" t="n">
        <f aca="false">AVERAGEIFS(TMC_Data[GEH_Hourly_Equiv],TMC_Data[Round],"Baseline")</f>
        <v>3.70240862254426</v>
      </c>
      <c r="C9" s="6" t="n">
        <f aca="false">AVERAGEIFS(TMC_Data[GEH_Hourly_Equiv],TMC_Data[Round],"1st Calibration")</f>
        <v>3.2139838826844</v>
      </c>
    </row>
    <row r="10" customFormat="false" ht="15" hidden="false" customHeight="false" outlineLevel="0" collapsed="false">
      <c r="A10" s="0" t="s">
        <v>199</v>
      </c>
      <c r="B10" s="5" t="n">
        <f aca="false">COUNTIFS(TMC_Data[Round],"Baseline",TMC_Data[GEH_15min],"&lt;5")/COUNTIFS(TMC_Data[Round],"Baseline")</f>
        <v>0.916666666666667</v>
      </c>
      <c r="C10" s="5" t="n">
        <f aca="false">COUNTIFS(TMC_Data[Round],"1st Calibration",TMC_Data[GEH_15min],"&lt;5")/COUNTIFS(TMC_Data[Round],"1st Calibration")</f>
        <v>0.893617021276596</v>
      </c>
    </row>
    <row r="11" customFormat="false" ht="15" hidden="false" customHeight="false" outlineLevel="0" collapsed="false">
      <c r="A11" s="0" t="s">
        <v>200</v>
      </c>
      <c r="B11" s="5" t="n">
        <f aca="false">COUNTIFS(TMC_Data[Round],"Baseline",TMC_Data[GEH_Hourly_Equiv],"&lt;5")/COUNTIFS(TMC_Data[Round],"Baseline")</f>
        <v>0.770833333333333</v>
      </c>
      <c r="C11" s="5" t="n">
        <f aca="false">COUNTIFS(TMC_Data[Round],"1st Calibration",TMC_Data[GEH_Hourly_Equiv],"&lt;5")/COUNTIFS(TMC_Data[Round],"1st Calibration")</f>
        <v>0.829787234042553</v>
      </c>
    </row>
    <row r="13" customFormat="false" ht="42" hidden="false" customHeight="true" outlineLevel="0" collapsed="false">
      <c r="A13" s="8" t="s">
        <v>201</v>
      </c>
      <c r="B13" s="8"/>
      <c r="C13" s="8"/>
    </row>
  </sheetData>
  <mergeCells count="3">
    <mergeCell ref="A1:C1"/>
    <mergeCell ref="A2:C2"/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45"/>
  </cols>
  <sheetData>
    <row r="1" customFormat="false" ht="15" hidden="false" customHeight="false" outlineLevel="0" collapsed="false">
      <c r="A1" s="10" t="s">
        <v>202</v>
      </c>
      <c r="B1" s="10"/>
      <c r="C1" s="10"/>
      <c r="D1" s="10"/>
      <c r="E1" s="10"/>
    </row>
    <row r="2" customFormat="false" ht="27.75" hidden="false" customHeight="true" outlineLevel="0" collapsed="false">
      <c r="A2" s="8" t="s">
        <v>203</v>
      </c>
      <c r="B2" s="8"/>
      <c r="C2" s="8"/>
      <c r="D2" s="8"/>
      <c r="E2" s="8"/>
    </row>
    <row r="4" customFormat="false" ht="15" hidden="false" customHeight="false" outlineLevel="0" collapsed="false">
      <c r="A4" s="4" t="s">
        <v>13</v>
      </c>
      <c r="B4" s="4" t="s">
        <v>204</v>
      </c>
      <c r="C4" s="4" t="s">
        <v>205</v>
      </c>
      <c r="D4" s="4" t="s">
        <v>206</v>
      </c>
      <c r="E4" s="4" t="s">
        <v>207</v>
      </c>
    </row>
    <row r="5" customFormat="false" ht="15" hidden="false" customHeight="false" outlineLevel="0" collapsed="false">
      <c r="A5" s="0" t="s">
        <v>23</v>
      </c>
      <c r="B5" s="6" t="n">
        <f aca="false">SUMPRODUCT((TMC_Data[ID]=8051900)*(TMC_Data[Round]="Baseline")*TMC_Data[GEH_15min])</f>
        <v>8.31858077074772</v>
      </c>
      <c r="C5" s="6" t="n">
        <f aca="false">SUMPRODUCT((TMC_Data[ID]=8051900)*(TMC_Data[Round]="1st Calibration")*TMC_Data[GEH_15min])</f>
        <v>0.138013111868471</v>
      </c>
      <c r="D5" s="5" t="n">
        <f aca="false">SUMPRODUCT((TMC_Data[ID]=8051900)*(TMC_Data[Round]="Baseline")*TMC_Data[Pct_Diff])</f>
        <v>0.594488188976378</v>
      </c>
      <c r="E5" s="5" t="n">
        <f aca="false">SUMPRODUCT((TMC_Data[ID]=8051900)*(TMC_Data[Round]="1st Calibration")*TMC_Data[Pct_Diff])</f>
        <v>0.00956937799043062</v>
      </c>
    </row>
    <row r="6" customFormat="false" ht="15" hidden="false" customHeight="false" outlineLevel="0" collapsed="false">
      <c r="A6" s="0" t="s">
        <v>26</v>
      </c>
      <c r="B6" s="6" t="n">
        <f aca="false">SUMPRODUCT((TMC_Data[ID]=8014800)*(TMC_Data[Round]="Baseline")*TMC_Data[GEH_15min])</f>
        <v>7.46838831571677</v>
      </c>
      <c r="C6" s="6" t="n">
        <f aca="false">SUMPRODUCT((TMC_Data[ID]=8014800)*(TMC_Data[Round]="1st Calibration")*TMC_Data[GEH_15min])</f>
        <v>2.96245158660611</v>
      </c>
      <c r="D6" s="5" t="n">
        <f aca="false">SUMPRODUCT((TMC_Data[ID]=8014800)*(TMC_Data[Round]="Baseline")*TMC_Data[Pct_Diff])</f>
        <v>0.647727272727273</v>
      </c>
      <c r="E6" s="5" t="n">
        <f aca="false">SUMPRODUCT((TMC_Data[ID]=8014800)*(TMC_Data[Round]="1st Calibration")*TMC_Data[Pct_Diff])</f>
        <v>-0.189189189189189</v>
      </c>
    </row>
    <row r="7" customFormat="false" ht="15" hidden="false" customHeight="false" outlineLevel="0" collapsed="false">
      <c r="A7" s="0" t="s">
        <v>31</v>
      </c>
      <c r="B7" s="6" t="n">
        <f aca="false">SUMPRODUCT((TMC_Data[ID]=9010690)*(TMC_Data[Round]="Baseline")*TMC_Data[GEH_15min])</f>
        <v>5.43627378134125</v>
      </c>
      <c r="C7" s="6" t="n">
        <f aca="false">SUMPRODUCT((TMC_Data[ID]=9010690)*(TMC_Data[Round]="1st Calibration")*TMC_Data[GEH_15min])</f>
        <v>0.657595949221429</v>
      </c>
      <c r="D7" s="5" t="n">
        <f aca="false">SUMPRODUCT((TMC_Data[ID]=9010690)*(TMC_Data[Round]="Baseline")*TMC_Data[Pct_Diff])</f>
        <v>0.294871794871795</v>
      </c>
      <c r="E7" s="5" t="n">
        <f aca="false">SUMPRODUCT((TMC_Data[ID]=9010690)*(TMC_Data[Round]="1st Calibration")*TMC_Data[Pct_Diff])</f>
        <v>-0.0353982300884956</v>
      </c>
    </row>
    <row r="8" customFormat="false" ht="15" hidden="false" customHeight="false" outlineLevel="0" collapsed="false">
      <c r="A8" s="0" t="s">
        <v>34</v>
      </c>
      <c r="B8" s="6" t="n">
        <f aca="false">SUMPRODUCT((TMC_Data[ID]=9010695)*(TMC_Data[Round]="Baseline")*TMC_Data[GEH_15min])</f>
        <v>4.77849645358916</v>
      </c>
      <c r="C8" s="6" t="n">
        <f aca="false">SUMPRODUCT((TMC_Data[ID]=9010695)*(TMC_Data[Round]="1st Calibration")*TMC_Data[GEH_15min])</f>
        <v>0.374188837466729</v>
      </c>
      <c r="D8" s="5" t="n">
        <f aca="false">SUMPRODUCT((TMC_Data[ID]=9010695)*(TMC_Data[Round]="Baseline")*TMC_Data[Pct_Diff])</f>
        <v>-0.177811550151976</v>
      </c>
      <c r="E8" s="5" t="n">
        <f aca="false">SUMPRODUCT((TMC_Data[ID]=9010695)*(TMC_Data[Round]="1st Calibration")*TMC_Data[Pct_Diff])</f>
        <v>0.0156794425087108</v>
      </c>
    </row>
    <row r="9" customFormat="false" ht="15" hidden="false" customHeight="false" outlineLevel="0" collapsed="false">
      <c r="A9" s="0" t="s">
        <v>41</v>
      </c>
      <c r="B9" s="6" t="n">
        <f aca="false">SUMPRODUCT((TMC_Data[ID]=8026100)*(TMC_Data[Round]="Baseline")*TMC_Data[GEH_15min])</f>
        <v>3.23443016025056</v>
      </c>
      <c r="C9" s="6" t="n">
        <f aca="false">SUMPRODUCT((TMC_Data[ID]=8026100)*(TMC_Data[Round]="1st Calibration")*TMC_Data[GEH_15min])</f>
        <v>0.040144782295185</v>
      </c>
      <c r="D9" s="5" t="n">
        <f aca="false">SUMPRODUCT((TMC_Data[ID]=8026100)*(TMC_Data[Round]="Baseline")*TMC_Data[Pct_Diff])</f>
        <v>-0.142857142857143</v>
      </c>
      <c r="E9" s="5" t="n">
        <f aca="false">SUMPRODUCT((TMC_Data[ID]=8026100)*(TMC_Data[Round]="1st Calibration")*TMC_Data[Pct_Diff])</f>
        <v>-0.00161030595813205</v>
      </c>
    </row>
    <row r="10" customFormat="false" ht="15" hidden="false" customHeight="false" outlineLevel="0" collapsed="false">
      <c r="A10" s="0" t="s">
        <v>44</v>
      </c>
      <c r="B10" s="6" t="n">
        <f aca="false">SUMPRODUCT((TMC_Data[ID]=8054100)*(TMC_Data[Round]="Baseline")*TMC_Data[GEH_15min])</f>
        <v>2.64382502663663</v>
      </c>
      <c r="C10" s="6" t="n">
        <f aca="false">SUMPRODUCT((TMC_Data[ID]=8054100)*(TMC_Data[Round]="1st Calibration")*TMC_Data[GEH_15min])</f>
        <v>1.71812836118323</v>
      </c>
      <c r="D10" s="5" t="n">
        <f aca="false">SUMPRODUCT((TMC_Data[ID]=8054100)*(TMC_Data[Round]="Baseline")*TMC_Data[Pct_Diff])</f>
        <v>-0.133152173913044</v>
      </c>
      <c r="E10" s="5" t="n">
        <f aca="false">SUMPRODUCT((TMC_Data[ID]=8054100)*(TMC_Data[Round]="1st Calibration")*TMC_Data[Pct_Diff])</f>
        <v>-0.107438016528926</v>
      </c>
    </row>
    <row r="11" customFormat="false" ht="15" hidden="false" customHeight="false" outlineLevel="0" collapsed="false">
      <c r="A11" s="0" t="s">
        <v>50</v>
      </c>
      <c r="B11" s="6" t="n">
        <f aca="false">SUMPRODUCT((TMC_Data[ID]=8045400)*(TMC_Data[Round]="Baseline")*TMC_Data[GEH_15min])</f>
        <v>2.52838866567484</v>
      </c>
      <c r="C11" s="6" t="n">
        <f aca="false">SUMPRODUCT((TMC_Data[ID]=8045400)*(TMC_Data[Round]="1st Calibration")*TMC_Data[GEH_15min])</f>
        <v>1.48741029327182</v>
      </c>
      <c r="D11" s="5" t="n">
        <f aca="false">SUMPRODUCT((TMC_Data[ID]=8045400)*(TMC_Data[Round]="Baseline")*TMC_Data[Pct_Diff])</f>
        <v>0.149350649350649</v>
      </c>
      <c r="E11" s="5" t="n">
        <f aca="false">SUMPRODUCT((TMC_Data[ID]=8045400)*(TMC_Data[Round]="1st Calibration")*TMC_Data[Pct_Diff])</f>
        <v>-0.0847457627118644</v>
      </c>
    </row>
    <row r="12" customFormat="false" ht="15" hidden="false" customHeight="false" outlineLevel="0" collapsed="false">
      <c r="A12" s="0" t="s">
        <v>56</v>
      </c>
      <c r="B12" s="6" t="n">
        <f aca="false">SUMPRODUCT((TMC_Data[ID]=8058010)*(TMC_Data[Round]="Baseline")*TMC_Data[GEH_15min])</f>
        <v>2.3441951748178</v>
      </c>
      <c r="C12" s="6" t="n">
        <f aca="false">SUMPRODUCT((TMC_Data[ID]=8058010)*(TMC_Data[Round]="1st Calibration")*TMC_Data[GEH_15min])</f>
        <v>0.288009216442392</v>
      </c>
      <c r="D12" s="5" t="n">
        <f aca="false">SUMPRODUCT((TMC_Data[ID]=8058010)*(TMC_Data[Round]="Baseline")*TMC_Data[Pct_Diff])</f>
        <v>-0.115089514066496</v>
      </c>
      <c r="E12" s="5" t="n">
        <f aca="false">SUMPRODUCT((TMC_Data[ID]=8058010)*(TMC_Data[Round]="1st Calibration")*TMC_Data[Pct_Diff])</f>
        <v>-0.0137299771167048</v>
      </c>
    </row>
    <row r="13" customFormat="false" ht="15" hidden="false" customHeight="false" outlineLevel="0" collapsed="false">
      <c r="A13" s="0" t="s">
        <v>64</v>
      </c>
      <c r="B13" s="6" t="n">
        <f aca="false">SUMPRODUCT((TMC_Data[ID]=8057890)*(TMC_Data[Round]="Baseline")*TMC_Data[GEH_15min])</f>
        <v>2.06764225838768</v>
      </c>
      <c r="C13" s="6" t="n">
        <f aca="false">SUMPRODUCT((TMC_Data[ID]=8057890)*(TMC_Data[Round]="1st Calibration")*TMC_Data[GEH_15min])</f>
        <v>1.36788951248889</v>
      </c>
      <c r="D13" s="5" t="n">
        <f aca="false">SUMPRODUCT((TMC_Data[ID]=8057890)*(TMC_Data[Round]="Baseline")*TMC_Data[Pct_Diff])</f>
        <v>-0.0947136563876652</v>
      </c>
      <c r="E13" s="5" t="n">
        <f aca="false">SUMPRODUCT((TMC_Data[ID]=8057890)*(TMC_Data[Round]="1st Calibration")*TMC_Data[Pct_Diff])</f>
        <v>0.0691358024691358</v>
      </c>
    </row>
    <row r="14" customFormat="false" ht="15" hidden="false" customHeight="false" outlineLevel="0" collapsed="false">
      <c r="A14" s="0" t="s">
        <v>67</v>
      </c>
      <c r="B14" s="6" t="n">
        <f aca="false">SUMPRODUCT((TMC_Data[ID]=8030800)*(TMC_Data[Round]="Baseline")*TMC_Data[GEH_15min])</f>
        <v>1.9597274201944</v>
      </c>
      <c r="C14" s="6" t="n">
        <f aca="false">SUMPRODUCT((TMC_Data[ID]=8030800)*(TMC_Data[Round]="1st Calibration")*TMC_Data[GEH_15min])</f>
        <v>0.59850560166458</v>
      </c>
      <c r="D14" s="5" t="n">
        <f aca="false">SUMPRODUCT((TMC_Data[ID]=8030800)*(TMC_Data[Round]="Baseline")*TMC_Data[Pct_Diff])</f>
        <v>0.119718309859155</v>
      </c>
      <c r="E14" s="5" t="n">
        <f aca="false">SUMPRODUCT((TMC_Data[ID]=8030800)*(TMC_Data[Round]="1st Calibration")*TMC_Data[Pct_Diff])</f>
        <v>0.0303030303030303</v>
      </c>
    </row>
    <row r="15" customFormat="false" ht="15" hidden="false" customHeight="false" outlineLevel="0" collapsed="false">
      <c r="A15" s="0" t="s">
        <v>72</v>
      </c>
      <c r="B15" s="6" t="n">
        <f aca="false">SUMPRODUCT((TMC_Data[ID]=8049100)*(TMC_Data[Round]="Baseline")*TMC_Data[GEH_15min])</f>
        <v>1.62937633978071</v>
      </c>
      <c r="C15" s="6" t="n">
        <f aca="false">SUMPRODUCT((TMC_Data[ID]=8049100)*(TMC_Data[Round]="1st Calibration")*TMC_Data[GEH_15min])</f>
        <v>0.443242207177936</v>
      </c>
      <c r="D15" s="5" t="n">
        <f aca="false">SUMPRODUCT((TMC_Data[ID]=8049100)*(TMC_Data[Round]="Baseline")*TMC_Data[Pct_Diff])</f>
        <v>-0.0847457627118644</v>
      </c>
      <c r="E15" s="5" t="n">
        <f aca="false">SUMPRODUCT((TMC_Data[ID]=8049100)*(TMC_Data[Round]="1st Calibration")*TMC_Data[Pct_Diff])</f>
        <v>-0.0194552529182879</v>
      </c>
    </row>
    <row r="16" customFormat="false" ht="15" hidden="false" customHeight="false" outlineLevel="0" collapsed="false">
      <c r="A16" s="0" t="s">
        <v>77</v>
      </c>
      <c r="B16" s="6" t="n">
        <f aca="false">SUMPRODUCT((TMC_Data[ID]=8052000)*(TMC_Data[Round]="Baseline")*TMC_Data[GEH_15min])</f>
        <v>0.920357986616845</v>
      </c>
      <c r="C16" s="6" t="n">
        <f aca="false">SUMPRODUCT((TMC_Data[ID]=8052000)*(TMC_Data[Round]="1st Calibration")*TMC_Data[GEH_15min])</f>
        <v>0.9114654303753</v>
      </c>
      <c r="D16" s="5" t="n">
        <f aca="false">SUMPRODUCT((TMC_Data[ID]=8052000)*(TMC_Data[Round]="Baseline")*TMC_Data[Pct_Diff])</f>
        <v>-0.0681818181818182</v>
      </c>
      <c r="E16" s="5" t="n">
        <f aca="false">SUMPRODUCT((TMC_Data[ID]=8052000)*(TMC_Data[Round]="1st Calibration")*TMC_Data[Pct_Diff])</f>
        <v>0.0967741935483871</v>
      </c>
    </row>
    <row r="17" customFormat="false" ht="15" hidden="false" customHeight="false" outlineLevel="0" collapsed="false">
      <c r="A17" s="0" t="s">
        <v>87</v>
      </c>
      <c r="B17" s="6" t="n">
        <f aca="false">SUMPRODUCT((TMC_Data[ID]=8051400)*(TMC_Data[Round]="Baseline")*TMC_Data[GEH_15min])</f>
        <v>0.809831191215541</v>
      </c>
      <c r="C17" s="6" t="n">
        <f aca="false">SUMPRODUCT((TMC_Data[ID]=8051400)*(TMC_Data[Round]="1st Calibration")*TMC_Data[GEH_15min])</f>
        <v>1.04643328713989</v>
      </c>
      <c r="D17" s="5" t="n">
        <f aca="false">SUMPRODUCT((TMC_Data[ID]=8051400)*(TMC_Data[Round]="Baseline")*TMC_Data[Pct_Diff])</f>
        <v>-0.0578947368421053</v>
      </c>
      <c r="E17" s="5" t="n">
        <f aca="false">SUMPRODUCT((TMC_Data[ID]=8051400)*(TMC_Data[Round]="1st Calibration")*TMC_Data[Pct_Diff])</f>
        <v>0.104761904761905</v>
      </c>
    </row>
    <row r="18" customFormat="false" ht="15" hidden="false" customHeight="false" outlineLevel="0" collapsed="false">
      <c r="A18" s="0" t="s">
        <v>101</v>
      </c>
      <c r="B18" s="6" t="n">
        <f aca="false">SUMPRODUCT((TMC_Data[ID]=8052100)*(TMC_Data[Round]="Baseline")*TMC_Data[GEH_15min])</f>
        <v>0.549250377927618</v>
      </c>
      <c r="C18" s="6" t="n">
        <f aca="false">SUMPRODUCT((TMC_Data[ID]=8052100)*(TMC_Data[Round]="1st Calibration")*TMC_Data[GEH_15min])</f>
        <v>0.549250377927618</v>
      </c>
      <c r="D18" s="5" t="n">
        <f aca="false">SUMPRODUCT((TMC_Data[ID]=8052100)*(TMC_Data[Round]="Baseline")*TMC_Data[Pct_Diff])</f>
        <v>-0.032967032967033</v>
      </c>
      <c r="E18" s="5" t="n">
        <f aca="false">SUMPRODUCT((TMC_Data[ID]=8052100)*(TMC_Data[Round]="1st Calibration")*TMC_Data[Pct_Diff])</f>
        <v>-0.032967032967033</v>
      </c>
    </row>
    <row r="19" customFormat="false" ht="15" hidden="false" customHeight="false" outlineLevel="0" collapsed="false">
      <c r="A19" s="0" t="s">
        <v>111</v>
      </c>
      <c r="B19" s="6" t="n">
        <f aca="false">SUMPRODUCT((TMC_Data[ID]=8037300)*(TMC_Data[Round]="Baseline")*TMC_Data[GEH_15min])</f>
        <v>0.309015721574763</v>
      </c>
      <c r="C19" s="6" t="n">
        <f aca="false">SUMPRODUCT((TMC_Data[ID]=8037300)*(TMC_Data[Round]="1st Calibration")*TMC_Data[GEH_15min])</f>
        <v>0.0670401523153991</v>
      </c>
      <c r="D19" s="5" t="n">
        <f aca="false">SUMPRODUCT((TMC_Data[ID]=8037300)*(TMC_Data[Round]="Baseline")*TMC_Data[Pct_Diff])</f>
        <v>-0.0157894736842105</v>
      </c>
      <c r="E19" s="5" t="n">
        <f aca="false">SUMPRODUCT((TMC_Data[ID]=8037300)*(TMC_Data[Round]="1st Calibration")*TMC_Data[Pct_Diff])</f>
        <v>-0.00448430493273543</v>
      </c>
    </row>
    <row r="20" customFormat="false" ht="15" hidden="false" customHeight="false" outlineLevel="0" collapsed="false">
      <c r="A20" s="0" t="s">
        <v>119</v>
      </c>
      <c r="B20" s="6" t="n">
        <f aca="false">SUMPRODUCT((TMC_Data[ID]=8048500)*(TMC_Data[Round]="Baseline")*TMC_Data[GEH_15min])</f>
        <v>0.182069138710321</v>
      </c>
      <c r="C20" s="6" t="n">
        <f aca="false">SUMPRODUCT((TMC_Data[ID]=8048500)*(TMC_Data[Round]="1st Calibration")*TMC_Data[GEH_15min])</f>
        <v>5.88348405414552</v>
      </c>
      <c r="D20" s="5" t="n">
        <f aca="false">SUMPRODUCT((TMC_Data[ID]=8048500)*(TMC_Data[Round]="Baseline")*TMC_Data[Pct_Diff])</f>
        <v>-0.010989010989011</v>
      </c>
      <c r="E20" s="5" t="n">
        <f aca="false">SUMPRODUCT((TMC_Data[ID]=8048500)*(TMC_Data[Round]="1st Calibration")*TMC_Data[Pct_Diff])</f>
        <v>-0.375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30" hidden="false" customHeight="true" outlineLevel="0" collapsed="false">
      <c r="A1" s="8" t="s">
        <v>208</v>
      </c>
      <c r="B1" s="8"/>
      <c r="C1" s="8"/>
      <c r="D1" s="8"/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2026-07-06T19:08:25Z</dcterms:created>
  <dc:creator>openpyxl</dc:creator>
  <dc:description/>
  <dc:language>en-US</dc:language>
  <cp:lastModifiedBy/>
  <dcterms:modified xsi:type="dcterms:W3CDTF">2026-07-06T16:39:46Z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