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sultant Data" sheetId="2" state="visible" r:id="rId2"/>
    <sheet name="Consultant Dashboard" sheetId="3" state="visible" r:id="rId3"/>
    <sheet name="Follow-ups"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b val="1"/>
      <sz val="14"/>
    </font>
    <font>
      <b val="1"/>
      <sz val="11"/>
    </font>
    <font>
      <b val="1"/>
      <color rgb="00FFFFFF"/>
    </font>
    <font>
      <b val="1"/>
      <sz val="13"/>
    </font>
    <font>
      <b val="1"/>
      <sz val="12"/>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horizontal="center"/>
    </xf>
    <xf numFmtId="164" fontId="0" fillId="0" borderId="0" pivotButton="0" quotePrefix="0" xfId="0"/>
    <xf numFmtId="165" fontId="0" fillId="0" borderId="0" pivotButton="0" quotePrefix="0" xfId="0"/>
    <xf numFmtId="2" fontId="0" fillId="0" borderId="0" pivotButton="0" quotePrefix="0" xfId="0"/>
    <xf numFmtId="0" fontId="4" fillId="0" borderId="0" pivotButton="0" quotePrefix="0" xfId="0"/>
    <xf numFmtId="0" fontId="0" fillId="0" borderId="0" applyAlignment="1" pivotButton="0" quotePrefix="0" xfId="0">
      <alignment wrapText="1"/>
    </xf>
    <xf numFmtId="1" fontId="0"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t>Consultant: GEH by Intersection, as-collected (sorted)</a:t>
            </a:r>
          </a:p>
        </rich>
      </tx>
    </title>
    <plotArea>
      <barChart>
        <barDir val="col"/>
        <grouping val="clustered"/>
        <ser>
          <idx val="0"/>
          <order val="0"/>
          <tx>
            <v>GEH</v>
          </tx>
          <spPr>
            <a:ln>
              <a:prstDash val="solid"/>
            </a:ln>
          </spPr>
          <cat>
            <numRef>
              <f>'Consultant Data'!$B$2:$B$46</f>
            </numRef>
          </cat>
          <val>
            <numRef>
              <f>'Consultant Data'!$J$2:$J$46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GEH</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Consultant: GEH by Intersection, hourly rate (sorted)</a:t>
            </a:r>
          </a:p>
        </rich>
      </tx>
    </title>
    <plotArea>
      <barChart>
        <barDir val="col"/>
        <grouping val="clustered"/>
        <ser>
          <idx val="0"/>
          <order val="0"/>
          <tx>
            <v>GEH</v>
          </tx>
          <spPr>
            <a:ln>
              <a:prstDash val="solid"/>
            </a:ln>
          </spPr>
          <cat>
            <numRef>
              <f>'Consultant Data'!$B$2:$B$46</f>
            </numRef>
          </cat>
          <val>
            <numRef>
              <f>'Consultant Data'!$K$2:$K$46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GEH</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Consultant vs. Vision Total</a:t>
            </a:r>
          </a:p>
        </rich>
      </tx>
    </title>
    <plotArea>
      <scatterChart>
        <ser>
          <idx val="0"/>
          <order val="0"/>
          <tx>
            <v>Intersections</v>
          </tx>
          <spPr>
            <a:ln>
              <a:noFill/>
              <a:prstDash val="solid"/>
            </a:ln>
          </spPr>
          <marker>
            <symbol val="circle"/>
            <size val="7"/>
            <spPr>
              <a:solidFill>
                <a:srgbClr val="1F4E78"/>
              </a:solidFill>
              <a:ln>
                <a:solidFill>
                  <a:srgbClr val="1F4E78"/>
                </a:solidFill>
                <a:prstDash val="solid"/>
              </a:ln>
            </spPr>
          </marker>
          <xVal>
            <numRef>
              <f>'Consultant Data'!$F$2:$F$46</f>
            </numRef>
          </xVal>
          <yVal>
            <numRef>
              <f>'Consultant Data'!$G$2:$G$46</f>
            </numRef>
          </yVal>
        </ser>
        <axId val="10"/>
        <axId val="20"/>
      </scatterChart>
      <valAx>
        <axId val="10"/>
        <scaling>
          <orientation val="minMax"/>
        </scaling>
        <axPos val="l"/>
        <majorGridlines/>
        <title>
          <tx>
            <rich>
              <a:bodyPr/>
              <a:p>
                <a:pPr>
                  <a:defRPr/>
                </a:pPr>
                <a:r>
                  <a:t>Consultant Total</a:t>
                </a:r>
              </a:p>
            </rich>
          </tx>
        </title>
        <majorTickMark val="none"/>
        <minorTickMark val="none"/>
        <crossAx val="20"/>
      </valAx>
      <valAx>
        <axId val="20"/>
        <scaling>
          <orientation val="minMax"/>
        </scaling>
        <axPos val="l"/>
        <majorGridlines/>
        <title>
          <tx>
            <rich>
              <a:bodyPr/>
              <a:p>
                <a:pPr>
                  <a:defRPr/>
                </a:pPr>
                <a:r>
                  <a:t>Vision Total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4</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24</row>
      <rowOff>0</rowOff>
    </from>
    <ext cx="7200000" cy="324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44</row>
      <rowOff>0</rowOff>
    </from>
    <ext cx="4320000" cy="3240000"/>
    <graphicFrame>
      <nvGraphicFramePr>
        <cNvPr id="3" name="Chart 3"/>
        <cNvGraphicFramePr/>
      </nvGraphicFramePr>
      <xfrm/>
      <a:graphic>
        <a:graphicData uri="http://schemas.openxmlformats.org/drawingml/2006/chart">
          <c:chart r:id="rId3"/>
        </a:graphicData>
      </a:graphic>
    </graphicFrame>
    <clientData/>
  </oneCellAnchor>
</wsDr>
</file>

<file path=xl/tables/table1.xml><?xml version="1.0" encoding="utf-8"?>
<table xmlns="http://schemas.openxmlformats.org/spreadsheetml/2006/main" id="1" name="TMC_Consultant" displayName="TMC_Consultant" ref="A1:K46" headerRowCount="1">
  <autoFilter ref="A1:K46"/>
  <tableColumns count="11">
    <tableColumn id="1" name="ID"/>
    <tableColumn id="2" name="Intersection"/>
    <tableColumn id="3" name="Date"/>
    <tableColumn id="4" name="Time of Day"/>
    <tableColumn id="5" name="Duration_Hours"/>
    <tableColumn id="6" name="Consultant_Total"/>
    <tableColumn id="7" name="Vision_Total"/>
    <tableColumn id="8" name="Pct_Diff"/>
    <tableColumn id="9" name="Abs_Pct_Diff"/>
    <tableColumn id="10" name="GEH"/>
    <tableColumn id="11" name="GEH_Hourly_R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00" customWidth="1" min="1" max="1"/>
  </cols>
  <sheetData>
    <row r="1">
      <c r="A1" s="1" t="inlineStr">
        <is>
          <t>Consultant vs. Vision Camera TMC Accuracy</t>
        </is>
      </c>
    </row>
    <row r="3">
      <c r="A3" s="2" t="inlineStr">
        <is>
          <t>Project goal</t>
        </is>
      </c>
    </row>
    <row r="4" ht="56" customHeight="1">
      <c r="A4" s="3" t="inlineStr">
        <is>
          <t>A professional traffic consultant's turning-movement counts were compared against the Vision Camera's counts, as a third independent check on Vision Camera accuracy alongside the Manual-vs-Vision Baseline/Calibration comparisons. This workbook covers 45 intersections with data in both.</t>
        </is>
      </c>
    </row>
    <row r="6">
      <c r="A6" s="2" t="inlineStr">
        <is>
          <t>Why this is a separate comparison</t>
        </is>
      </c>
    </row>
    <row r="7" ht="70" customHeight="1">
      <c r="A7" s="3" t="inlineStr">
        <is>
          <t>Consultant counts are cumulative totals over long, variable windows (13 to 18 hours), not fixed 15-minute windows like the Manual counts. That difference matters for GEH specifically: GEH scales with sqrt(volume) for a fixed relative error, so a multi-hour count mechanically produces a much larger GEH than a 15-minute one at the same accuracy -- not because the Vision Camera is less accurate, but because of the volume difference alone.</t>
        </is>
      </c>
    </row>
    <row r="9">
      <c r="A9" s="2" t="inlineStr">
        <is>
          <t>How GEH is handled here</t>
        </is>
      </c>
    </row>
    <row r="10" ht="70" customHeight="1">
      <c r="A10" s="3" t="inlineStr">
        <is>
          <t>Two GEH bases are shown on the Dashboard tab: as-collected (over the full multi-hour window) and normalized to an hourly rate (each total divided by its own count duration before computing GEH). The hourly-rate version is the fairer comparison against the conventional GEH&lt;5 threshold, which was calibrated for hourly volumes. Even so, % Difference is the most directly meaningful metric for this dataset, since it doesn't depend on count duration at all.</t>
        </is>
      </c>
    </row>
    <row r="12">
      <c r="A12" s="2" t="inlineStr">
        <is>
          <t>Data quality note</t>
        </is>
      </c>
    </row>
    <row r="13" ht="56" customHeight="1">
      <c r="A13" s="3" t="inlineStr">
        <is>
          <t>Two data-entry errors were found and corrected in the source workbook before this analysis: a 10x typo in one intersection's Consultant Total, and an approach-total entry error in another intersection's Vision counts. Both were confirmed against each row's own internal consistency (does the Total match the sum of its own approach totals?) before and after correction.</t>
        </is>
      </c>
    </row>
    <row r="15">
      <c r="A15" s="2" t="inlineStr">
        <is>
          <t>Excluded intersections</t>
        </is>
      </c>
    </row>
    <row r="16" ht="84" customHeight="1">
      <c r="A16" s="3" t="inlineStr">
        <is>
          <t>3 intersections were excluded from this workbook's data, KPIs, and charts as statistical outliers disproportionately skewing the mean % Difference and GEH -- this is not based on an identified data-quality issue with these specific rows (both were checked and are internally consistent). Excluded: CSAH 17 (France Ave) at I-494 N Ramp / 78th St (% Diff -72.2%, GEH hourly rate 79.0); CSAH 32 (Penn Ave) at 64th St W / Fire Station (% Diff -53.3%, GEH hourly rate 21.2); CSAH 34 (Normandale Blvd) at 98th St W (% Diff 75.4%, GEH hourly rate 20.4).</t>
        </is>
      </c>
    </row>
    <row r="18">
      <c r="A18" s="2" t="inlineStr">
        <is>
          <t>Headline numbers</t>
        </is>
      </c>
    </row>
    <row r="19" ht="42" customHeight="1">
      <c r="A19" s="3" t="inlineStr">
        <is>
          <t>Mean |% Difference|: 10.3%. Mean GEH as-collected: 11.44 (median 9.26). Mean GEH hourly rate: 3.08 (median 2.74). % of intersections passing GEH&lt;5 on the hourly-rate basis: 75.6%. (After excluding the 3 outliers noted above.)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6"/>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1" customWidth="1" min="3" max="3"/>
    <col width="21" customWidth="1" min="4" max="4"/>
    <col width="16" customWidth="1" min="5" max="5"/>
    <col width="18" customWidth="1" min="6" max="6"/>
    <col width="14" customWidth="1" min="7" max="7"/>
    <col width="16" customWidth="1" min="8" max="8"/>
    <col width="14" customWidth="1" min="9" max="9"/>
    <col width="32" customWidth="1" min="10" max="10"/>
    <col width="45" customWidth="1" min="11" max="11"/>
  </cols>
  <sheetData>
    <row r="1">
      <c r="A1" s="4" t="inlineStr">
        <is>
          <t>ID</t>
        </is>
      </c>
      <c r="B1" s="4" t="inlineStr">
        <is>
          <t>Intersection</t>
        </is>
      </c>
      <c r="C1" s="4" t="inlineStr">
        <is>
          <t>Date</t>
        </is>
      </c>
      <c r="D1" s="4" t="inlineStr">
        <is>
          <t>Time of Day</t>
        </is>
      </c>
      <c r="E1" s="4" t="inlineStr">
        <is>
          <t>Duration_Hours</t>
        </is>
      </c>
      <c r="F1" s="4" t="inlineStr">
        <is>
          <t>Consultant_Total</t>
        </is>
      </c>
      <c r="G1" s="4" t="inlineStr">
        <is>
          <t>Vision_Total</t>
        </is>
      </c>
      <c r="H1" s="4" t="inlineStr">
        <is>
          <t>Pct_Diff</t>
        </is>
      </c>
      <c r="I1" s="4" t="inlineStr">
        <is>
          <t>Abs_Pct_Diff</t>
        </is>
      </c>
      <c r="J1" s="4" t="inlineStr">
        <is>
          <t>GEH</t>
        </is>
      </c>
      <c r="K1" s="4" t="inlineStr">
        <is>
          <t>GEH_Hourly_Rate</t>
        </is>
      </c>
    </row>
    <row r="2">
      <c r="A2" t="n">
        <v>8057100</v>
      </c>
      <c r="B2" t="inlineStr">
        <is>
          <t>CSAH 30 (93rd Ave) at Troy Ln N</t>
        </is>
      </c>
      <c r="C2" t="inlineStr">
        <is>
          <t>2026-04-29 00:00:00</t>
        </is>
      </c>
      <c r="D2" t="inlineStr">
        <is>
          <t>5:00 AM to 11:00 PM</t>
        </is>
      </c>
      <c r="E2" s="5" t="n">
        <v>18</v>
      </c>
      <c r="F2" t="n">
        <v>23041</v>
      </c>
      <c r="G2" t="n">
        <v>17596</v>
      </c>
      <c r="H2" s="6">
        <f>(G2-F2)/F2</f>
        <v/>
      </c>
      <c r="I2" s="6">
        <f>ABS(H2)</f>
        <v/>
      </c>
      <c r="J2" s="7">
        <f>SQRT(2*(G2-F2)^2/(G2+F2))</f>
        <v/>
      </c>
      <c r="K2" s="7">
        <f>IF(E2="","",SQRT(2*((G2/E2)-(F2/E2))^2/((F2/E2)+(G2/E2))))</f>
        <v/>
      </c>
    </row>
    <row r="3">
      <c r="A3" t="n">
        <v>8035100</v>
      </c>
      <c r="B3" t="inlineStr">
        <is>
          <t>CSAH 101 (Central Ave) at Wayzata Blvd - Master Controller</t>
        </is>
      </c>
      <c r="C3" t="inlineStr">
        <is>
          <t>2025-04-15 00:00:00</t>
        </is>
      </c>
      <c r="D3" t="inlineStr">
        <is>
          <t>5:00 AM to 11:00 PM</t>
        </is>
      </c>
      <c r="E3" s="5" t="n">
        <v>18</v>
      </c>
      <c r="F3" t="n">
        <v>7743</v>
      </c>
      <c r="G3" t="n">
        <v>4837</v>
      </c>
      <c r="H3" s="6">
        <f>(G3-F3)/F3</f>
        <v/>
      </c>
      <c r="I3" s="6">
        <f>ABS(H3)</f>
        <v/>
      </c>
      <c r="J3" s="7">
        <f>SQRT(2*(G3-F3)^2/(G3+F3))</f>
        <v/>
      </c>
      <c r="K3" s="7">
        <f>IF(E3="","",SQRT(2*((G3/E3)-(F3/E3))^2/((F3/E3)+(G3/E3))))</f>
        <v/>
      </c>
    </row>
    <row r="4">
      <c r="A4" t="n">
        <v>8023600</v>
      </c>
      <c r="B4" t="inlineStr">
        <is>
          <t>CSAH 53 (66th St) at Lakeshore Dr / Rae Dr</t>
        </is>
      </c>
      <c r="C4" t="inlineStr">
        <is>
          <t>2025-04-23 00:00:00</t>
        </is>
      </c>
      <c r="D4" t="inlineStr">
        <is>
          <t>6:00 AM TO 7:00 PM</t>
        </is>
      </c>
      <c r="E4" s="5" t="n">
        <v>13</v>
      </c>
      <c r="F4" t="n">
        <v>2530</v>
      </c>
      <c r="G4" t="n">
        <v>1162</v>
      </c>
      <c r="H4" s="6">
        <f>(G4-F4)/F4</f>
        <v/>
      </c>
      <c r="I4" s="6">
        <f>ABS(H4)</f>
        <v/>
      </c>
      <c r="J4" s="7">
        <f>SQRT(2*(G4-F4)^2/(G4+F4))</f>
        <v/>
      </c>
      <c r="K4" s="7">
        <f>IF(E4="","",SQRT(2*((G4/E4)-(F4/E4))^2/((F4/E4)+(G4/E4))))</f>
        <v/>
      </c>
    </row>
    <row r="5">
      <c r="A5" t="n">
        <v>8054700</v>
      </c>
      <c r="B5" t="inlineStr">
        <is>
          <t>CSAH 158 (Gleason Rd) at Vernon Ave S</t>
        </is>
      </c>
      <c r="C5" t="inlineStr">
        <is>
          <t>2025-04-15 00:00:00</t>
        </is>
      </c>
      <c r="D5" t="inlineStr">
        <is>
          <t>6:00 AM TO 7:00 PM</t>
        </is>
      </c>
      <c r="E5" s="5" t="n">
        <v>13</v>
      </c>
      <c r="F5" t="n">
        <v>11409</v>
      </c>
      <c r="G5" t="n">
        <v>8288</v>
      </c>
      <c r="H5" s="6">
        <f>(G5-F5)/F5</f>
        <v/>
      </c>
      <c r="I5" s="6">
        <f>ABS(H5)</f>
        <v/>
      </c>
      <c r="J5" s="7">
        <f>SQRT(2*(G5-F5)^2/(G5+F5))</f>
        <v/>
      </c>
      <c r="K5" s="7">
        <f>IF(E5="","",SQRT(2*((G5/E5)-(F5/E5))^2/((F5/E5)+(G5/E5))))</f>
        <v/>
      </c>
    </row>
    <row r="6">
      <c r="A6" t="n">
        <v>8033500</v>
      </c>
      <c r="B6" t="inlineStr">
        <is>
          <t>CSAH 136 (Silver Lake Rd) at St Anthony Blvd</t>
        </is>
      </c>
      <c r="C6" t="inlineStr">
        <is>
          <t>2025-04-17 00:00:00</t>
        </is>
      </c>
      <c r="D6" t="inlineStr">
        <is>
          <t>6:00 AM to 7:00 PM</t>
        </is>
      </c>
      <c r="E6" s="5" t="n">
        <v>13</v>
      </c>
      <c r="F6" t="n">
        <v>15289</v>
      </c>
      <c r="G6" t="n">
        <v>11785</v>
      </c>
      <c r="H6" s="6">
        <f>(G6-F6)/F6</f>
        <v/>
      </c>
      <c r="I6" s="6">
        <f>ABS(H6)</f>
        <v/>
      </c>
      <c r="J6" s="7">
        <f>SQRT(2*(G6-F6)^2/(G6+F6))</f>
        <v/>
      </c>
      <c r="K6" s="7">
        <f>IF(E6="","",SQRT(2*((G6/E6)-(F6/E6))^2/((F6/E6)+(G6/E6))))</f>
        <v/>
      </c>
    </row>
    <row r="7">
      <c r="A7" t="n">
        <v>8057600</v>
      </c>
      <c r="B7" t="inlineStr">
        <is>
          <t>CSAH 61 (Flying Cloud Dr) at Singletree Ln</t>
        </is>
      </c>
      <c r="C7" t="inlineStr">
        <is>
          <t>2025-11-05 00:00:00</t>
        </is>
      </c>
      <c r="D7" t="inlineStr">
        <is>
          <t>6:00 AM TO 7:00 PM</t>
        </is>
      </c>
      <c r="E7" s="5" t="n">
        <v>13</v>
      </c>
      <c r="F7" t="n">
        <v>25988</v>
      </c>
      <c r="G7" t="n">
        <v>21937</v>
      </c>
      <c r="H7" s="6">
        <f>(G7-F7)/F7</f>
        <v/>
      </c>
      <c r="I7" s="6">
        <f>ABS(H7)</f>
        <v/>
      </c>
      <c r="J7" s="7">
        <f>SQRT(2*(G7-F7)^2/(G7+F7))</f>
        <v/>
      </c>
      <c r="K7" s="7">
        <f>IF(E7="","",SQRT(2*((G7/E7)-(F7/E7))^2/((F7/E7)+(G7/E7))))</f>
        <v/>
      </c>
    </row>
    <row r="8">
      <c r="A8" t="n">
        <v>8047700</v>
      </c>
      <c r="B8" t="inlineStr">
        <is>
          <t>CSAH 31 (York Ave) at Southdale Exit</t>
        </is>
      </c>
      <c r="C8" t="inlineStr">
        <is>
          <t>2025-04-16 00:00:00</t>
        </is>
      </c>
      <c r="D8" t="inlineStr">
        <is>
          <t>6:00 AM to 7:00 PM</t>
        </is>
      </c>
      <c r="E8" s="5" t="n">
        <v>13</v>
      </c>
      <c r="F8" t="n">
        <v>21939</v>
      </c>
      <c r="G8" t="n">
        <v>18298</v>
      </c>
      <c r="H8" s="6">
        <f>(G8-F8)/F8</f>
        <v/>
      </c>
      <c r="I8" s="6">
        <f>ABS(H8)</f>
        <v/>
      </c>
      <c r="J8" s="7">
        <f>SQRT(2*(G8-F8)^2/(G8+F8))</f>
        <v/>
      </c>
      <c r="K8" s="7">
        <f>IF(E8="","",SQRT(2*((G8/E8)-(F8/E8))^2/((F8/E8)+(G8/E8))))</f>
        <v/>
      </c>
    </row>
    <row r="9">
      <c r="A9" t="n">
        <v>8030800</v>
      </c>
      <c r="B9" t="inlineStr">
        <is>
          <t xml:space="preserve">CSAH 28 (E Bush Lake Rd) at 78th St W </t>
        </is>
      </c>
      <c r="C9" t="inlineStr">
        <is>
          <t>2025-04-08 00:00:00</t>
        </is>
      </c>
      <c r="D9" t="inlineStr">
        <is>
          <t>6:00 AM TO 7:00 PM</t>
        </is>
      </c>
      <c r="E9" s="5" t="n">
        <v>13</v>
      </c>
      <c r="F9" t="n">
        <v>21171</v>
      </c>
      <c r="G9" t="n">
        <v>17834</v>
      </c>
      <c r="H9" s="6">
        <f>(G9-F9)/F9</f>
        <v/>
      </c>
      <c r="I9" s="6">
        <f>ABS(H9)</f>
        <v/>
      </c>
      <c r="J9" s="7">
        <f>SQRT(2*(G9-F9)^2/(G9+F9))</f>
        <v/>
      </c>
      <c r="K9" s="7">
        <f>IF(E9="","",SQRT(2*((G9/E9)-(F9/E9))^2/((F9/E9)+(G9/E9))))</f>
        <v/>
      </c>
    </row>
    <row r="10">
      <c r="A10" t="n">
        <v>8057550</v>
      </c>
      <c r="B10" t="inlineStr">
        <is>
          <t>CSAH 61 (Flying Cloud Dr) at Regional Center Rd</t>
        </is>
      </c>
      <c r="C10" t="inlineStr">
        <is>
          <t>2025-11-05 00:00:00</t>
        </is>
      </c>
      <c r="D10" t="inlineStr">
        <is>
          <t>6:00 AM TO 7:00 PM</t>
        </is>
      </c>
      <c r="E10" s="5" t="n">
        <v>13</v>
      </c>
      <c r="F10" t="n">
        <v>20971</v>
      </c>
      <c r="G10" t="n">
        <v>17727</v>
      </c>
      <c r="H10" s="6">
        <f>(G10-F10)/F10</f>
        <v/>
      </c>
      <c r="I10" s="6">
        <f>ABS(H10)</f>
        <v/>
      </c>
      <c r="J10" s="7">
        <f>SQRT(2*(G10-F10)^2/(G10+F10))</f>
        <v/>
      </c>
      <c r="K10" s="7">
        <f>IF(E10="","",SQRT(2*((G10/E10)-(F10/E10))^2/((F10/E10)+(G10/E10))))</f>
        <v/>
      </c>
    </row>
    <row r="11">
      <c r="A11" t="n">
        <v>8054900</v>
      </c>
      <c r="B11" t="inlineStr">
        <is>
          <t>CSAH 28 (E Bush Lake Rd) at American Blvd / Green Valley Dr</t>
        </is>
      </c>
      <c r="C11" t="inlineStr">
        <is>
          <t>2025-04-08 00:00:00</t>
        </is>
      </c>
      <c r="D11" t="inlineStr">
        <is>
          <t>6:00 AM TO 7:00 PM</t>
        </is>
      </c>
      <c r="E11" s="5" t="n">
        <v>13</v>
      </c>
      <c r="F11" t="n">
        <v>12382</v>
      </c>
      <c r="G11" t="n">
        <v>10037</v>
      </c>
      <c r="H11" s="6">
        <f>(G11-F11)/F11</f>
        <v/>
      </c>
      <c r="I11" s="6">
        <f>ABS(H11)</f>
        <v/>
      </c>
      <c r="J11" s="7">
        <f>SQRT(2*(G11-F11)^2/(G11+F11))</f>
        <v/>
      </c>
      <c r="K11" s="7">
        <f>IF(E11="","",SQRT(2*((G11/E11)-(F11/E11))^2/((F11/E11)+(G11/E11))))</f>
        <v/>
      </c>
    </row>
    <row r="12">
      <c r="A12" t="n">
        <v>8058010</v>
      </c>
      <c r="B12" t="inlineStr">
        <is>
          <t>CSAH 73 (Hopkins Crossroad) at Wayzata Blvd / North Frontage Road</t>
        </is>
      </c>
      <c r="C12" t="inlineStr">
        <is>
          <t>2025-05-01 00:00:00</t>
        </is>
      </c>
      <c r="D12" t="inlineStr">
        <is>
          <t>5:00 AM to 11:00 PM</t>
        </is>
      </c>
      <c r="E12" s="5" t="n">
        <v>18</v>
      </c>
      <c r="F12" t="n">
        <v>18666</v>
      </c>
      <c r="G12" t="n">
        <v>16482</v>
      </c>
      <c r="H12" s="6">
        <f>(G12-F12)/F12</f>
        <v/>
      </c>
      <c r="I12" s="6">
        <f>ABS(H12)</f>
        <v/>
      </c>
      <c r="J12" s="7">
        <f>SQRT(2*(G12-F12)^2/(G12+F12))</f>
        <v/>
      </c>
      <c r="K12" s="7">
        <f>IF(E12="","",SQRT(2*((G12/E12)-(F12/E12))^2/((F12/E12)+(G12/E12))))</f>
        <v/>
      </c>
    </row>
    <row r="13">
      <c r="A13" t="n">
        <v>8055900</v>
      </c>
      <c r="B13" t="inlineStr">
        <is>
          <t>CSAH 30 (97th Ave) at CSAH 101 (Brockton Ln N)</t>
        </is>
      </c>
      <c r="C13" t="inlineStr">
        <is>
          <t>2026-04-29 00:00:00</t>
        </is>
      </c>
      <c r="D13" t="inlineStr">
        <is>
          <t>6:00 AM to 7:00 PM</t>
        </is>
      </c>
      <c r="E13" s="5" t="n">
        <v>13</v>
      </c>
      <c r="F13" t="n">
        <v>22606</v>
      </c>
      <c r="G13" t="n">
        <v>20197</v>
      </c>
      <c r="H13" s="6">
        <f>(G13-F13)/F13</f>
        <v/>
      </c>
      <c r="I13" s="6">
        <f>ABS(H13)</f>
        <v/>
      </c>
      <c r="J13" s="7">
        <f>SQRT(2*(G13-F13)^2/(G13+F13))</f>
        <v/>
      </c>
      <c r="K13" s="7">
        <f>IF(E13="","",SQRT(2*((G13/E13)-(F13/E13))^2/((F13/E13)+(G13/E13))))</f>
        <v/>
      </c>
    </row>
    <row r="14">
      <c r="A14" t="n">
        <v>8031600</v>
      </c>
      <c r="B14" t="inlineStr">
        <is>
          <t>CSAH 10 (Bass Lake Rd) at Sycamore Ln / Prudential Bldg - Master Controller</t>
        </is>
      </c>
      <c r="C14" t="inlineStr">
        <is>
          <t>2026-04-29 00:00:00</t>
        </is>
      </c>
      <c r="D14" t="inlineStr">
        <is>
          <t>5:00 AM to 11:00 PM</t>
        </is>
      </c>
      <c r="E14" s="5" t="n">
        <v>18</v>
      </c>
      <c r="F14" t="n">
        <v>29888</v>
      </c>
      <c r="G14" t="n">
        <v>27273</v>
      </c>
      <c r="H14" s="6">
        <f>(G14-F14)/F14</f>
        <v/>
      </c>
      <c r="I14" s="6">
        <f>ABS(H14)</f>
        <v/>
      </c>
      <c r="J14" s="7">
        <f>SQRT(2*(G14-F14)^2/(G14+F14))</f>
        <v/>
      </c>
      <c r="K14" s="7">
        <f>IF(E14="","",SQRT(2*((G14/E14)-(F14/E14))^2/((F14/E14)+(G14/E14))))</f>
        <v/>
      </c>
    </row>
    <row r="15">
      <c r="A15" t="n">
        <v>8057400</v>
      </c>
      <c r="B15" t="inlineStr">
        <is>
          <t>CSAH 61 (Flying Cloud Dr) at Anderson Lakes Pkwy</t>
        </is>
      </c>
      <c r="C15" t="inlineStr">
        <is>
          <t>2025-11-05 00:00:00</t>
        </is>
      </c>
      <c r="D15" t="inlineStr">
        <is>
          <t>6:00 AM TO 7:00 PM</t>
        </is>
      </c>
      <c r="E15" s="5" t="n">
        <v>13</v>
      </c>
      <c r="F15" t="n">
        <v>22981</v>
      </c>
      <c r="G15" t="n">
        <v>20720</v>
      </c>
      <c r="H15" s="6">
        <f>(G15-F15)/F15</f>
        <v/>
      </c>
      <c r="I15" s="6">
        <f>ABS(H15)</f>
        <v/>
      </c>
      <c r="J15" s="7">
        <f>SQRT(2*(G15-F15)^2/(G15+F15))</f>
        <v/>
      </c>
      <c r="K15" s="7">
        <f>IF(E15="","",SQRT(2*((G15/E15)-(F15/E15))^2/((F15/E15)+(G15/E15))))</f>
        <v/>
      </c>
    </row>
    <row r="16">
      <c r="A16" t="n">
        <v>8007400</v>
      </c>
      <c r="B16" t="inlineStr">
        <is>
          <t>CSAH 52 (Nicollet Ave) at 90th St</t>
        </is>
      </c>
      <c r="C16" t="inlineStr">
        <is>
          <t>2025-04-10 00:00:00</t>
        </is>
      </c>
      <c r="D16" t="inlineStr">
        <is>
          <t>6:00 AM TO 7:00 PM</t>
        </is>
      </c>
      <c r="E16" s="5" t="n">
        <v>13</v>
      </c>
      <c r="F16" t="n">
        <v>14830</v>
      </c>
      <c r="G16" t="n">
        <v>13171</v>
      </c>
      <c r="H16" s="6">
        <f>(G16-F16)/F16</f>
        <v/>
      </c>
      <c r="I16" s="6">
        <f>ABS(H16)</f>
        <v/>
      </c>
      <c r="J16" s="7">
        <f>SQRT(2*(G16-F16)^2/(G16+F16))</f>
        <v/>
      </c>
      <c r="K16" s="7">
        <f>IF(E16="","",SQRT(2*((G16/E16)-(F16/E16))^2/((F16/E16)+(G16/E16))))</f>
        <v/>
      </c>
    </row>
    <row r="17">
      <c r="A17" t="n">
        <v>8048800</v>
      </c>
      <c r="B17" t="inlineStr">
        <is>
          <t>CSAH 4 (Eden Prairie Rd) at Edenwood Dr BACKHAUL</t>
        </is>
      </c>
      <c r="C17" t="inlineStr">
        <is>
          <t>2024-05-08 00:00:00</t>
        </is>
      </c>
      <c r="D17" t="inlineStr">
        <is>
          <t>6:00 AM to 7:00 PM</t>
        </is>
      </c>
      <c r="E17" s="5" t="n">
        <v>13</v>
      </c>
      <c r="F17" t="n">
        <v>8538</v>
      </c>
      <c r="G17" t="n">
        <v>7345</v>
      </c>
      <c r="H17" s="6">
        <f>(G17-F17)/F17</f>
        <v/>
      </c>
      <c r="I17" s="6">
        <f>ABS(H17)</f>
        <v/>
      </c>
      <c r="J17" s="7">
        <f>SQRT(2*(G17-F17)^2/(G17+F17))</f>
        <v/>
      </c>
      <c r="K17" s="7">
        <f>IF(E17="","",SQRT(2*((G17/E17)-(F17/E17))^2/((F17/E17)+(G17/E17))))</f>
        <v/>
      </c>
    </row>
    <row r="18">
      <c r="A18" t="n">
        <v>8033300</v>
      </c>
      <c r="B18" t="inlineStr">
        <is>
          <t>CSAH 88 (New Brighton Blvd) at St Anthony Blvd</t>
        </is>
      </c>
      <c r="C18" t="inlineStr">
        <is>
          <t>2025-04-24 00:00:00</t>
        </is>
      </c>
      <c r="D18" t="inlineStr">
        <is>
          <t>5:00 AM to 11:00 PM</t>
        </is>
      </c>
      <c r="E18" s="5" t="n">
        <v>18</v>
      </c>
      <c r="F18" t="n">
        <v>21360</v>
      </c>
      <c r="G18" t="n">
        <v>19511</v>
      </c>
      <c r="H18" s="6">
        <f>(G18-F18)/F18</f>
        <v/>
      </c>
      <c r="I18" s="6">
        <f>ABS(H18)</f>
        <v/>
      </c>
      <c r="J18" s="7">
        <f>SQRT(2*(G18-F18)^2/(G18+F18))</f>
        <v/>
      </c>
      <c r="K18" s="7">
        <f>IF(E18="","",SQRT(2*((G18/E18)-(F18/E18))^2/((F18/E18)+(G18/E18))))</f>
        <v/>
      </c>
    </row>
    <row r="19">
      <c r="A19" t="n">
        <v>8007100</v>
      </c>
      <c r="B19" t="inlineStr">
        <is>
          <t>CSAH 17 (France Ave) at 84th St W BACKHAUL</t>
        </is>
      </c>
      <c r="C19" t="inlineStr">
        <is>
          <t>2025-04-16 00:00:00</t>
        </is>
      </c>
      <c r="D19" t="inlineStr">
        <is>
          <t>6:00 AM TO 7:00 PM</t>
        </is>
      </c>
      <c r="E19" s="5" t="n">
        <v>13</v>
      </c>
      <c r="F19" t="n">
        <v>19297</v>
      </c>
      <c r="G19" t="n">
        <v>17584</v>
      </c>
      <c r="H19" s="6">
        <f>(G19-F19)/F19</f>
        <v/>
      </c>
      <c r="I19" s="6">
        <f>ABS(H19)</f>
        <v/>
      </c>
      <c r="J19" s="7">
        <f>SQRT(2*(G19-F19)^2/(G19+F19))</f>
        <v/>
      </c>
      <c r="K19" s="7">
        <f>IF(E19="","",SQRT(2*((G19/E19)-(F19/E19))^2/((F19/E19)+(G19/E19))))</f>
        <v/>
      </c>
    </row>
    <row r="20">
      <c r="A20" t="n">
        <v>8028100</v>
      </c>
      <c r="B20" t="inlineStr">
        <is>
          <t>CSAH 28 (E Bush Lake Rd) at 84th St W / Chalet Rd</t>
        </is>
      </c>
      <c r="C20" t="inlineStr">
        <is>
          <t>2025-04-08 00:00:00</t>
        </is>
      </c>
      <c r="D20" t="inlineStr">
        <is>
          <t>6:00 AM to 7:00 PM</t>
        </is>
      </c>
      <c r="E20" s="5" t="n">
        <v>13</v>
      </c>
      <c r="F20" t="n">
        <v>14541</v>
      </c>
      <c r="G20" t="n">
        <v>13202</v>
      </c>
      <c r="H20" s="6">
        <f>(G20-F20)/F20</f>
        <v/>
      </c>
      <c r="I20" s="6">
        <f>ABS(H20)</f>
        <v/>
      </c>
      <c r="J20" s="7">
        <f>SQRT(2*(G20-F20)^2/(G20+F20))</f>
        <v/>
      </c>
      <c r="K20" s="7">
        <f>IF(E20="","",SQRT(2*((G20/E20)-(F20/E20))^2/((F20/E20)+(G20/E20))))</f>
        <v/>
      </c>
    </row>
    <row r="21">
      <c r="A21" t="n">
        <v>8037500</v>
      </c>
      <c r="B21" t="inlineStr">
        <is>
          <t>CSAH 61 (Plymouth Rd) at Sherwood Place / Regency Woods Apartments</t>
        </is>
      </c>
      <c r="C21" t="inlineStr">
        <is>
          <t>2025-05-01 00:00:00</t>
        </is>
      </c>
      <c r="D21" t="inlineStr">
        <is>
          <t>6:00 AM TO 7:00 PM</t>
        </is>
      </c>
      <c r="E21" s="5" t="n">
        <v>13</v>
      </c>
      <c r="F21" t="n">
        <v>5289</v>
      </c>
      <c r="G21" t="n">
        <v>4524</v>
      </c>
      <c r="H21" s="6">
        <f>(G21-F21)/F21</f>
        <v/>
      </c>
      <c r="I21" s="6">
        <f>ABS(H21)</f>
        <v/>
      </c>
      <c r="J21" s="7">
        <f>SQRT(2*(G21-F21)^2/(G21+F21))</f>
        <v/>
      </c>
      <c r="K21" s="7">
        <f>IF(E21="","",SQRT(2*((G21/E21)-(F21/E21))^2/((F21/E21)+(G21/E21))))</f>
        <v/>
      </c>
    </row>
    <row r="22">
      <c r="A22" t="n">
        <v>8017000</v>
      </c>
      <c r="B22" t="inlineStr">
        <is>
          <t>CSAH 34 (Normandale Blvd) at 102nd St W BACKHAUL</t>
        </is>
      </c>
      <c r="C22" t="inlineStr">
        <is>
          <t>2025-04-08 00:00:00</t>
        </is>
      </c>
      <c r="D22" t="inlineStr">
        <is>
          <t>6:00 AM to 7:00 PM</t>
        </is>
      </c>
      <c r="E22" s="5" t="n">
        <v>13</v>
      </c>
      <c r="F22" t="n">
        <v>10519</v>
      </c>
      <c r="G22" t="n">
        <v>9454</v>
      </c>
      <c r="H22" s="6">
        <f>(G22-F22)/F22</f>
        <v/>
      </c>
      <c r="I22" s="6">
        <f>ABS(H22)</f>
        <v/>
      </c>
      <c r="J22" s="7">
        <f>SQRT(2*(G22-F22)^2/(G22+F22))</f>
        <v/>
      </c>
      <c r="K22" s="7">
        <f>IF(E22="","",SQRT(2*((G22/E22)-(F22/E22))^2/((F22/E22)+(G22/E22))))</f>
        <v/>
      </c>
    </row>
    <row r="23">
      <c r="A23" t="n">
        <v>8024300</v>
      </c>
      <c r="B23" t="inlineStr">
        <is>
          <t>CSAH 61 (Plymouth Rd) at Ridgedale Dr</t>
        </is>
      </c>
      <c r="C23" t="inlineStr">
        <is>
          <t>2025-05-01 00:00:00</t>
        </is>
      </c>
      <c r="D23" t="inlineStr">
        <is>
          <t>6:00 AM TO 7:00 PM</t>
        </is>
      </c>
      <c r="E23" s="5" t="n">
        <v>13</v>
      </c>
      <c r="F23" t="n">
        <v>14453</v>
      </c>
      <c r="G23" t="n">
        <v>13221</v>
      </c>
      <c r="H23" s="6">
        <f>(G23-F23)/F23</f>
        <v/>
      </c>
      <c r="I23" s="6">
        <f>ABS(H23)</f>
        <v/>
      </c>
      <c r="J23" s="7">
        <f>SQRT(2*(G23-F23)^2/(G23+F23))</f>
        <v/>
      </c>
      <c r="K23" s="7">
        <f>IF(E23="","",SQRT(2*((G23/E23)-(F23/E23))^2/((F23/E23)+(G23/E23))))</f>
        <v/>
      </c>
    </row>
    <row r="24">
      <c r="A24" t="n">
        <v>8021900</v>
      </c>
      <c r="B24" t="inlineStr">
        <is>
          <t>CSAH 52 (Nicollet Ave) at 84th St</t>
        </is>
      </c>
      <c r="C24" t="inlineStr">
        <is>
          <t>2025-04-10 00:00:00</t>
        </is>
      </c>
      <c r="D24" t="inlineStr">
        <is>
          <t>6:00 AM TO 7:00 PM</t>
        </is>
      </c>
      <c r="E24" s="5" t="n">
        <v>13</v>
      </c>
      <c r="F24" t="n">
        <v>9475</v>
      </c>
      <c r="G24" t="n">
        <v>8595</v>
      </c>
      <c r="H24" s="6">
        <f>(G24-F24)/F24</f>
        <v/>
      </c>
      <c r="I24" s="6">
        <f>ABS(H24)</f>
        <v/>
      </c>
      <c r="J24" s="7">
        <f>SQRT(2*(G24-F24)^2/(G24+F24))</f>
        <v/>
      </c>
      <c r="K24" s="7">
        <f>IF(E24="","",SQRT(2*((G24/E24)-(F24/E24))^2/((F24/E24)+(G24/E24))))</f>
        <v/>
      </c>
    </row>
    <row r="25">
      <c r="A25" t="n">
        <v>9010695</v>
      </c>
      <c r="B25" t="inlineStr">
        <is>
          <t>CSAH 121 (Maple Grove Pkwy) at 99th Ave / Grove Cir</t>
        </is>
      </c>
      <c r="C25" t="inlineStr">
        <is>
          <t>2026-04-29 00:00:00</t>
        </is>
      </c>
      <c r="D25" t="inlineStr">
        <is>
          <t>5:00 AM to 11:00 PM</t>
        </is>
      </c>
      <c r="E25" s="5" t="n">
        <v>18</v>
      </c>
      <c r="F25" t="n">
        <v>31522</v>
      </c>
      <c r="G25" t="n">
        <v>30177</v>
      </c>
      <c r="H25" s="6">
        <f>(G25-F25)/F25</f>
        <v/>
      </c>
      <c r="I25" s="6">
        <f>ABS(H25)</f>
        <v/>
      </c>
      <c r="J25" s="7">
        <f>SQRT(2*(G25-F25)^2/(G25+F25))</f>
        <v/>
      </c>
      <c r="K25" s="7">
        <f>IF(E25="","",SQRT(2*((G25/E25)-(F25/E25))^2/((F25/E25)+(G25/E25))))</f>
        <v/>
      </c>
    </row>
    <row r="26">
      <c r="A26" t="n">
        <v>8013000</v>
      </c>
      <c r="B26" t="inlineStr">
        <is>
          <t xml:space="preserve">CSAH 52 (Nicollet Ave) at 82nd St </t>
        </is>
      </c>
      <c r="C26" t="inlineStr">
        <is>
          <t>2025-04-10 00:00:00</t>
        </is>
      </c>
      <c r="D26" t="inlineStr">
        <is>
          <t>6:00 AM TO 7:00 PM</t>
        </is>
      </c>
      <c r="E26" s="5" t="n">
        <v>13</v>
      </c>
      <c r="F26" t="n">
        <v>11525</v>
      </c>
      <c r="G26" t="n">
        <v>10767</v>
      </c>
      <c r="H26" s="6">
        <f>(G26-F26)/F26</f>
        <v/>
      </c>
      <c r="I26" s="6">
        <f>ABS(H26)</f>
        <v/>
      </c>
      <c r="J26" s="7">
        <f>SQRT(2*(G26-F26)^2/(G26+F26))</f>
        <v/>
      </c>
      <c r="K26" s="7">
        <f>IF(E26="","",SQRT(2*((G26/E26)-(F26/E26))^2/((F26/E26)+(G26/E26))))</f>
        <v/>
      </c>
    </row>
    <row r="27">
      <c r="A27" t="n">
        <v>8022400</v>
      </c>
      <c r="B27" t="inlineStr">
        <is>
          <t>CSAH 1 (Old Shakopee Rd) at Xerxes Ave S</t>
        </is>
      </c>
      <c r="C27" t="inlineStr">
        <is>
          <t>2026-02-10 00:00:00</t>
        </is>
      </c>
      <c r="D27" t="inlineStr">
        <is>
          <t>15:00:00</t>
        </is>
      </c>
      <c r="E27" s="5" t="n">
        <v/>
      </c>
      <c r="F27" t="n">
        <v>429</v>
      </c>
      <c r="G27" t="n">
        <v>299</v>
      </c>
      <c r="H27" s="6">
        <f>(G27-F27)/F27</f>
        <v/>
      </c>
      <c r="I27" s="6">
        <f>ABS(H27)</f>
        <v/>
      </c>
      <c r="J27" s="7">
        <f>SQRT(2*(G27-F27)^2/(G27+F27))</f>
        <v/>
      </c>
      <c r="K27" s="7">
        <f>IF(E27="","",SQRT(2*((G27/E27)-(F27/E27))^2/((F27/E27)+(G27/E27))))</f>
        <v/>
      </c>
    </row>
    <row r="28">
      <c r="A28" t="n">
        <v>9010690</v>
      </c>
      <c r="B28" t="inlineStr">
        <is>
          <t>CSAH 121 (Maple Grove Pkwy) at Hospital Dr</t>
        </is>
      </c>
      <c r="C28" t="inlineStr">
        <is>
          <t>2026-04-29 00:00:00</t>
        </is>
      </c>
      <c r="D28" t="inlineStr">
        <is>
          <t>6:00 AM to 7:00 PM</t>
        </is>
      </c>
      <c r="E28" s="5" t="n">
        <v>13</v>
      </c>
      <c r="F28" t="n">
        <v>25223</v>
      </c>
      <c r="G28" t="n">
        <v>24561</v>
      </c>
      <c r="H28" s="6">
        <f>(G28-F28)/F28</f>
        <v/>
      </c>
      <c r="I28" s="6">
        <f>ABS(H28)</f>
        <v/>
      </c>
      <c r="J28" s="7">
        <f>SQRT(2*(G28-F28)^2/(G28+F28))</f>
        <v/>
      </c>
      <c r="K28" s="7">
        <f>IF(E28="","",SQRT(2*((G28/E28)-(F28/E28))^2/((F28/E28)+(G28/E28))))</f>
        <v/>
      </c>
    </row>
    <row r="29">
      <c r="A29" t="n">
        <v>8007200</v>
      </c>
      <c r="B29" t="inlineStr">
        <is>
          <t>CSAH 35 (Portland Ave) at 90th St E</t>
        </is>
      </c>
      <c r="C29" t="inlineStr">
        <is>
          <t>2025-04-10 00:00:00</t>
        </is>
      </c>
      <c r="D29" t="inlineStr">
        <is>
          <t>6:00 AM to 7:00 PM</t>
        </is>
      </c>
      <c r="E29" s="5" t="n">
        <v>13</v>
      </c>
      <c r="F29" t="n">
        <v>11635</v>
      </c>
      <c r="G29" t="n">
        <v>12092</v>
      </c>
      <c r="H29" s="6">
        <f>(G29-F29)/F29</f>
        <v/>
      </c>
      <c r="I29" s="6">
        <f>ABS(H29)</f>
        <v/>
      </c>
      <c r="J29" s="7">
        <f>SQRT(2*(G29-F29)^2/(G29+F29))</f>
        <v/>
      </c>
      <c r="K29" s="7">
        <f>IF(E29="","",SQRT(2*((G29/E29)-(F29/E29))^2/((F29/E29)+(G29/E29))))</f>
        <v/>
      </c>
    </row>
    <row r="30">
      <c r="A30" t="n">
        <v>8057450</v>
      </c>
      <c r="B30" t="inlineStr">
        <is>
          <t>CSAH 61 (Flying Cloud Dr) at Fountain Pl</t>
        </is>
      </c>
      <c r="C30" t="inlineStr">
        <is>
          <t>2025-11-05 00:00:00</t>
        </is>
      </c>
      <c r="D30" t="inlineStr">
        <is>
          <t>6:00 AM TO 7:00 PM</t>
        </is>
      </c>
      <c r="E30" s="5" t="n">
        <v>13</v>
      </c>
      <c r="F30" t="n">
        <v>23292</v>
      </c>
      <c r="G30" t="n">
        <v>22797</v>
      </c>
      <c r="H30" s="6">
        <f>(G30-F30)/F30</f>
        <v/>
      </c>
      <c r="I30" s="6">
        <f>ABS(H30)</f>
        <v/>
      </c>
      <c r="J30" s="7">
        <f>SQRT(2*(G30-F30)^2/(G30+F30))</f>
        <v/>
      </c>
      <c r="K30" s="7">
        <f>IF(E30="","",SQRT(2*((G30/E30)-(F30/E30))^2/((F30/E30)+(G30/E30))))</f>
        <v/>
      </c>
    </row>
    <row r="31">
      <c r="A31" t="n">
        <v>8022300</v>
      </c>
      <c r="B31" t="inlineStr">
        <is>
          <t>CSAH 61 (Plymouth Rd) at Cartway Dr</t>
        </is>
      </c>
      <c r="C31" t="inlineStr">
        <is>
          <t>2025-05-01 00:00:00</t>
        </is>
      </c>
      <c r="D31" t="inlineStr">
        <is>
          <t>6:00 AM TO 7:00 PM</t>
        </is>
      </c>
      <c r="E31" s="5" t="n">
        <v>13</v>
      </c>
      <c r="F31" t="n">
        <v>17985</v>
      </c>
      <c r="G31" t="n">
        <v>17583</v>
      </c>
      <c r="H31" s="6">
        <f>(G31-F31)/F31</f>
        <v/>
      </c>
      <c r="I31" s="6">
        <f>ABS(H31)</f>
        <v/>
      </c>
      <c r="J31" s="7">
        <f>SQRT(2*(G31-F31)^2/(G31+F31))</f>
        <v/>
      </c>
      <c r="K31" s="7">
        <f>IF(E31="","",SQRT(2*((G31/E31)-(F31/E31))^2/((F31/E31)+(G31/E31))))</f>
        <v/>
      </c>
    </row>
    <row r="32">
      <c r="A32" t="n">
        <v>8002900</v>
      </c>
      <c r="B32" t="inlineStr">
        <is>
          <t>CSAH 53 (66th St) at Vincent Ave</t>
        </is>
      </c>
      <c r="C32" t="inlineStr">
        <is>
          <t>2025-04-23 00:00:00</t>
        </is>
      </c>
      <c r="D32" t="inlineStr">
        <is>
          <t>6:00 AM TO 7:00 PM</t>
        </is>
      </c>
      <c r="E32" s="5" t="n">
        <v>13</v>
      </c>
      <c r="F32" t="n">
        <v>1107</v>
      </c>
      <c r="G32" t="n">
        <v>1208</v>
      </c>
      <c r="H32" s="6">
        <f>(G32-F32)/F32</f>
        <v/>
      </c>
      <c r="I32" s="6">
        <f>ABS(H32)</f>
        <v/>
      </c>
      <c r="J32" s="7">
        <f>SQRT(2*(G32-F32)^2/(G32+F32))</f>
        <v/>
      </c>
      <c r="K32" s="7">
        <f>IF(E32="","",SQRT(2*((G32/E32)-(F32/E32))^2/((F32/E32)+(G32/E32))))</f>
        <v/>
      </c>
    </row>
    <row r="33">
      <c r="A33" t="n">
        <v>8003000</v>
      </c>
      <c r="B33" t="inlineStr">
        <is>
          <t>CSAH 32 (Penn Ave) at CSAH 53 (66th St) - Master Controller Z12</t>
        </is>
      </c>
      <c r="C33" t="inlineStr">
        <is>
          <t>2025-04-23 00:00:00</t>
        </is>
      </c>
      <c r="D33" t="inlineStr">
        <is>
          <t>5:00 AM to 11:00 PM</t>
        </is>
      </c>
      <c r="E33" s="5" t="n">
        <v>18</v>
      </c>
      <c r="F33" t="n">
        <v>12434</v>
      </c>
      <c r="G33" t="n">
        <v>12727</v>
      </c>
      <c r="H33" s="6">
        <f>(G33-F33)/F33</f>
        <v/>
      </c>
      <c r="I33" s="6">
        <f>ABS(H33)</f>
        <v/>
      </c>
      <c r="J33" s="7">
        <f>SQRT(2*(G33-F33)^2/(G33+F33))</f>
        <v/>
      </c>
      <c r="K33" s="7">
        <f>IF(E33="","",SQRT(2*((G33/E33)-(F33/E33))^2/((F33/E33)+(G33/E33))))</f>
        <v/>
      </c>
    </row>
    <row r="34">
      <c r="A34" t="n">
        <v>8057300</v>
      </c>
      <c r="B34" t="inlineStr">
        <is>
          <t>CSAH 1 (Pioneer Trail) at CSAH 61 (Flying Cloud Dr)</t>
        </is>
      </c>
      <c r="C34" t="inlineStr">
        <is>
          <t>2025-11-05 00:00:00</t>
        </is>
      </c>
      <c r="D34" t="inlineStr">
        <is>
          <t>6:00 AM to 7:00 PM</t>
        </is>
      </c>
      <c r="E34" s="5" t="n">
        <v>13</v>
      </c>
      <c r="F34" t="n">
        <v>23440</v>
      </c>
      <c r="G34" t="n">
        <v>23069</v>
      </c>
      <c r="H34" s="6">
        <f>(G34-F34)/F34</f>
        <v/>
      </c>
      <c r="I34" s="6">
        <f>ABS(H34)</f>
        <v/>
      </c>
      <c r="J34" s="7">
        <f>SQRT(2*(G34-F34)^2/(G34+F34))</f>
        <v/>
      </c>
      <c r="K34" s="7">
        <f>IF(E34="","",SQRT(2*((G34/E34)-(F34/E34))^2/((F34/E34)+(G34/E34))))</f>
        <v/>
      </c>
    </row>
    <row r="35">
      <c r="A35" t="n">
        <v>8057500</v>
      </c>
      <c r="B35" t="inlineStr">
        <is>
          <t>CSAH 61 (Flying Cloud Dr) at Prairie Center Dr BACKHAUL</t>
        </is>
      </c>
      <c r="C35" t="inlineStr">
        <is>
          <t>2025-10-29 00:00:00</t>
        </is>
      </c>
      <c r="D35" t="inlineStr">
        <is>
          <t>5:00 AM to 11 PM</t>
        </is>
      </c>
      <c r="E35" s="5" t="n">
        <v>18</v>
      </c>
      <c r="F35" t="n">
        <v>36033</v>
      </c>
      <c r="G35" t="n">
        <v>35603</v>
      </c>
      <c r="H35" s="6">
        <f>(G35-F35)/F35</f>
        <v/>
      </c>
      <c r="I35" s="6">
        <f>ABS(H35)</f>
        <v/>
      </c>
      <c r="J35" s="7">
        <f>SQRT(2*(G35-F35)^2/(G35+F35))</f>
        <v/>
      </c>
      <c r="K35" s="7">
        <f>IF(E35="","",SQRT(2*((G35/E35)-(F35/E35))^2/((F35/E35)+(G35/E35))))</f>
        <v/>
      </c>
    </row>
    <row r="36">
      <c r="A36" t="n">
        <v>8044600</v>
      </c>
      <c r="B36" t="inlineStr">
        <is>
          <t>CSAH 1 (Old Shakopee Rd) at Nesbitt Ave</t>
        </is>
      </c>
      <c r="C36" t="inlineStr">
        <is>
          <t>2025-04-17 00:00:00</t>
        </is>
      </c>
      <c r="D36" t="inlineStr">
        <is>
          <t>5:00 AM to 11:00 PM</t>
        </is>
      </c>
      <c r="E36" s="5" t="n">
        <v>18</v>
      </c>
      <c r="F36" t="n">
        <v>2013</v>
      </c>
      <c r="G36" t="n">
        <v>1940</v>
      </c>
      <c r="H36" s="6">
        <f>(G36-F36)/F36</f>
        <v/>
      </c>
      <c r="I36" s="6">
        <f>ABS(H36)</f>
        <v/>
      </c>
      <c r="J36" s="7">
        <f>SQRT(2*(G36-F36)^2/(G36+F36))</f>
        <v/>
      </c>
      <c r="K36" s="7">
        <f>IF(E36="","",SQRT(2*((G36/E36)-(F36/E36))^2/((F36/E36)+(G36/E36))))</f>
        <v/>
      </c>
    </row>
    <row r="37">
      <c r="A37" t="n">
        <v>8004000</v>
      </c>
      <c r="B37" t="inlineStr">
        <is>
          <t>CSAH 53 (66th St) at Bloomington Ave S - Master Controller</t>
        </is>
      </c>
      <c r="C37" t="inlineStr">
        <is>
          <t>2025-04-23 00:00:00</t>
        </is>
      </c>
      <c r="D37" t="inlineStr">
        <is>
          <t>6:00 AM TO 7:00 PM</t>
        </is>
      </c>
      <c r="E37" s="5" t="n">
        <v>13</v>
      </c>
      <c r="F37" t="n">
        <v>15836</v>
      </c>
      <c r="G37" t="n">
        <v>15632</v>
      </c>
      <c r="H37" s="6">
        <f>(G37-F37)/F37</f>
        <v/>
      </c>
      <c r="I37" s="6">
        <f>ABS(H37)</f>
        <v/>
      </c>
      <c r="J37" s="7">
        <f>SQRT(2*(G37-F37)^2/(G37+F37))</f>
        <v/>
      </c>
      <c r="K37" s="7">
        <f>IF(E37="","",SQRT(2*((G37/E37)-(F37/E37))^2/((F37/E37)+(G37/E37))))</f>
        <v/>
      </c>
    </row>
    <row r="38">
      <c r="A38" t="n">
        <v>8057650</v>
      </c>
      <c r="B38" t="inlineStr">
        <is>
          <t>CSAH 61 (Flying Cloud Dr) at Leona Rd / Eden Rd</t>
        </is>
      </c>
      <c r="C38" t="inlineStr">
        <is>
          <t>2025-11-05 00:00:00</t>
        </is>
      </c>
      <c r="D38" t="inlineStr">
        <is>
          <t>6:00 AM TO 7:00 PM</t>
        </is>
      </c>
      <c r="E38" s="5" t="n">
        <v>13</v>
      </c>
      <c r="F38" t="n">
        <v>26793</v>
      </c>
      <c r="G38" t="n">
        <v>26541</v>
      </c>
      <c r="H38" s="6">
        <f>(G38-F38)/F38</f>
        <v/>
      </c>
      <c r="I38" s="6">
        <f>ABS(H38)</f>
        <v/>
      </c>
      <c r="J38" s="7">
        <f>SQRT(2*(G38-F38)^2/(G38+F38))</f>
        <v/>
      </c>
      <c r="K38" s="7">
        <f>IF(E38="","",SQRT(2*((G38/E38)-(F38/E38))^2/((F38/E38)+(G38/E38))))</f>
        <v/>
      </c>
    </row>
    <row r="39">
      <c r="A39" t="n">
        <v>8032700</v>
      </c>
      <c r="B39" t="inlineStr">
        <is>
          <t>CSAH 153 (Kenzie Ter) at Kenzington Apts</t>
        </is>
      </c>
      <c r="C39" t="inlineStr">
        <is>
          <t>2025-04-17 00:00:00</t>
        </is>
      </c>
      <c r="D39" t="inlineStr">
        <is>
          <t>6:00 AM TO 7:00 PM</t>
        </is>
      </c>
      <c r="E39" s="5" t="n">
        <v>13</v>
      </c>
      <c r="F39" t="n">
        <v>4207</v>
      </c>
      <c r="G39" t="n">
        <v>4274</v>
      </c>
      <c r="H39" s="6">
        <f>(G39-F39)/F39</f>
        <v/>
      </c>
      <c r="I39" s="6">
        <f>ABS(H39)</f>
        <v/>
      </c>
      <c r="J39" s="7">
        <f>SQRT(2*(G39-F39)^2/(G39+F39))</f>
        <v/>
      </c>
      <c r="K39" s="7">
        <f>IF(E39="","",SQRT(2*((G39/E39)-(F39/E39))^2/((F39/E39)+(G39/E39))))</f>
        <v/>
      </c>
    </row>
    <row r="40">
      <c r="A40" t="n">
        <v>8058015</v>
      </c>
      <c r="B40" t="inlineStr">
        <is>
          <t>CSAH 73 (Hopkins Crossroad) at S Frontage Rd</t>
        </is>
      </c>
      <c r="C40" t="inlineStr">
        <is>
          <t>2025-05-01 00:00:00</t>
        </is>
      </c>
      <c r="D40" t="inlineStr">
        <is>
          <t>6:00 AM TO 7:00 PM</t>
        </is>
      </c>
      <c r="E40" s="5" t="n">
        <v>13</v>
      </c>
      <c r="F40" t="n">
        <v>15326</v>
      </c>
      <c r="G40" t="n">
        <v>15203</v>
      </c>
      <c r="H40" s="6">
        <f>(G40-F40)/F40</f>
        <v/>
      </c>
      <c r="I40" s="6">
        <f>ABS(H40)</f>
        <v/>
      </c>
      <c r="J40" s="7">
        <f>SQRT(2*(G40-F40)^2/(G40+F40))</f>
        <v/>
      </c>
      <c r="K40" s="7">
        <f>IF(E40="","",SQRT(2*((G40/E40)-(F40/E40))^2/((F40/E40)+(G40/E40))))</f>
        <v/>
      </c>
    </row>
    <row r="41">
      <c r="A41" t="n">
        <v>8027300</v>
      </c>
      <c r="B41" t="inlineStr">
        <is>
          <t>CSAH 61 (Plymouth Rd) at I-394 N Frontage Rd</t>
        </is>
      </c>
      <c r="C41" t="inlineStr">
        <is>
          <t>2025-05-01 00:00:00</t>
        </is>
      </c>
      <c r="D41" t="inlineStr">
        <is>
          <t>6:00 AM TO 7:00 PM</t>
        </is>
      </c>
      <c r="E41" s="5" t="n">
        <v>13</v>
      </c>
      <c r="F41" t="n">
        <v>17803</v>
      </c>
      <c r="G41" t="n">
        <v>17694</v>
      </c>
      <c r="H41" s="6">
        <f>(G41-F41)/F41</f>
        <v/>
      </c>
      <c r="I41" s="6">
        <f>ABS(H41)</f>
        <v/>
      </c>
      <c r="J41" s="7">
        <f>SQRT(2*(G41-F41)^2/(G41+F41))</f>
        <v/>
      </c>
      <c r="K41" s="7">
        <f>IF(E41="","",SQRT(2*((G41/E41)-(F41/E41))^2/((F41/E41)+(G41/E41))))</f>
        <v/>
      </c>
    </row>
    <row r="42">
      <c r="A42" t="n">
        <v>8054800</v>
      </c>
      <c r="B42" t="inlineStr">
        <is>
          <t>CSAH 30 (93rd Ave) at Upland Ln N</t>
        </is>
      </c>
      <c r="C42" t="inlineStr">
        <is>
          <t>2026-04-29 00:00:00</t>
        </is>
      </c>
      <c r="D42" t="inlineStr">
        <is>
          <t>6:00 AM to 7:00 PM</t>
        </is>
      </c>
      <c r="E42" s="5" t="n">
        <v>13</v>
      </c>
      <c r="F42" t="n">
        <v>14826</v>
      </c>
      <c r="G42" t="n">
        <v>14759</v>
      </c>
      <c r="H42" s="6">
        <f>(G42-F42)/F42</f>
        <v/>
      </c>
      <c r="I42" s="6">
        <f>ABS(H42)</f>
        <v/>
      </c>
      <c r="J42" s="7">
        <f>SQRT(2*(G42-F42)^2/(G42+F42))</f>
        <v/>
      </c>
      <c r="K42" s="7">
        <f>IF(E42="","",SQRT(2*((G42/E42)-(F42/E42))^2/((F42/E42)+(G42/E42))))</f>
        <v/>
      </c>
    </row>
    <row r="43">
      <c r="A43" t="n">
        <v>8007600</v>
      </c>
      <c r="B43" t="inlineStr">
        <is>
          <t>CSAH 53 (66th St) at Sheridan Ave</t>
        </is>
      </c>
      <c r="C43" t="inlineStr">
        <is>
          <t>2025-04-23 00:00:00</t>
        </is>
      </c>
      <c r="D43" t="inlineStr">
        <is>
          <t>6:00 AM TO 7:00 PM</t>
        </is>
      </c>
      <c r="E43" s="5" t="n">
        <v>13</v>
      </c>
      <c r="F43" t="n">
        <v>346</v>
      </c>
      <c r="G43" t="n">
        <v>337</v>
      </c>
      <c r="H43" s="6">
        <f>(G43-F43)/F43</f>
        <v/>
      </c>
      <c r="I43" s="6">
        <f>ABS(H43)</f>
        <v/>
      </c>
      <c r="J43" s="7">
        <f>SQRT(2*(G43-F43)^2/(G43+F43))</f>
        <v/>
      </c>
      <c r="K43" s="7">
        <f>IF(E43="","",SQRT(2*((G43/E43)-(F43/E43))^2/((F43/E43)+(G43/E43))))</f>
        <v/>
      </c>
    </row>
    <row r="44">
      <c r="A44" t="n">
        <v>8009900</v>
      </c>
      <c r="B44" t="inlineStr">
        <is>
          <t>CSAH 35 (Portland Ave) at 86th St E (BACKHAUL)</t>
        </is>
      </c>
      <c r="C44" t="inlineStr">
        <is>
          <t>2025-04-10 00:00:00</t>
        </is>
      </c>
      <c r="D44" t="inlineStr">
        <is>
          <t>6:00 AM to 7:00 PM</t>
        </is>
      </c>
      <c r="E44" s="5" t="n">
        <v>13</v>
      </c>
      <c r="F44" t="n">
        <v>11984</v>
      </c>
      <c r="G44" t="n">
        <v>12033</v>
      </c>
      <c r="H44" s="6">
        <f>(G44-F44)/F44</f>
        <v/>
      </c>
      <c r="I44" s="6">
        <f>ABS(H44)</f>
        <v/>
      </c>
      <c r="J44" s="7">
        <f>SQRT(2*(G44-F44)^2/(G44+F44))</f>
        <v/>
      </c>
      <c r="K44" s="7">
        <f>IF(E44="","",SQRT(2*((G44/E44)-(F44/E44))^2/((F44/E44)+(G44/E44))))</f>
        <v/>
      </c>
    </row>
    <row r="45">
      <c r="A45" t="n">
        <v>8003900</v>
      </c>
      <c r="B45" t="inlineStr">
        <is>
          <t>CSAH 53 (66th St) at 12th Ave S</t>
        </is>
      </c>
      <c r="C45" t="inlineStr">
        <is>
          <t>2025-05-08 00:00:00</t>
        </is>
      </c>
      <c r="D45" t="inlineStr">
        <is>
          <t>6:00 AM TO 7:00 PM</t>
        </is>
      </c>
      <c r="E45" s="5" t="n">
        <v>13</v>
      </c>
      <c r="F45" t="n">
        <v>1797</v>
      </c>
      <c r="G45" t="n">
        <v>1786</v>
      </c>
      <c r="H45" s="6">
        <f>(G45-F45)/F45</f>
        <v/>
      </c>
      <c r="I45" s="6">
        <f>ABS(H45)</f>
        <v/>
      </c>
      <c r="J45" s="7">
        <f>SQRT(2*(G45-F45)^2/(G45+F45))</f>
        <v/>
      </c>
      <c r="K45" s="7">
        <f>IF(E45="","",SQRT(2*((G45/E45)-(F45/E45))^2/((F45/E45)+(G45/E45))))</f>
        <v/>
      </c>
    </row>
    <row r="46">
      <c r="A46" t="n">
        <v>8003100</v>
      </c>
      <c r="B46" t="inlineStr">
        <is>
          <t>CSAH 53 (66th St) at Logan Ave</t>
        </is>
      </c>
      <c r="C46" t="inlineStr">
        <is>
          <t>2025-04-23 00:00:00</t>
        </is>
      </c>
      <c r="D46" t="inlineStr">
        <is>
          <t>6:00 AM TO 7:00 PM</t>
        </is>
      </c>
      <c r="E46" s="5" t="n">
        <v>13</v>
      </c>
      <c r="F46" t="n">
        <v>438</v>
      </c>
      <c r="G46" t="n">
        <v>435</v>
      </c>
      <c r="H46" s="6">
        <f>(G46-F46)/F46</f>
        <v/>
      </c>
      <c r="I46" s="6">
        <f>ABS(H46)</f>
        <v/>
      </c>
      <c r="J46" s="7">
        <f>SQRT(2*(G46-F46)^2/(G46+F46))</f>
        <v/>
      </c>
      <c r="K46" s="7">
        <f>IF(E46="","",SQRT(2*((G46/E46)-(F46/E46))^2/((F46/E46)+(G46/E46))))</f>
        <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5" customWidth="1" min="1" max="1"/>
    <col width="45" customWidth="1" min="2" max="2"/>
  </cols>
  <sheetData>
    <row r="1">
      <c r="A1" s="8" t="inlineStr">
        <is>
          <t>Consultant vs. Vision Camera — Live KPIs</t>
        </is>
      </c>
    </row>
    <row r="2" ht="42" customHeight="1">
      <c r="A2" s="9" t="inlineStr">
        <is>
          <t>A standalone third comparison, separate from the Manual-vs-Vision Baseline/1st Calibration numbers, because Consultant counts are cumulative totals over long, variable windows (13-18 hours) rather than fixed 15-minute windows. Every value below is a formula over the TMC_Consultant table (Consultant Data tab).</t>
        </is>
      </c>
    </row>
    <row r="3"/>
    <row r="4"/>
    <row r="5">
      <c r="A5" s="4" t="inlineStr">
        <is>
          <t>Metric</t>
        </is>
      </c>
      <c r="B5" s="4" t="inlineStr">
        <is>
          <t>Consultant</t>
        </is>
      </c>
    </row>
    <row r="6">
      <c r="A6" t="inlineStr">
        <is>
          <t>Intersections with data</t>
        </is>
      </c>
      <c r="B6" s="10">
        <f>COUNTA(TMC_Consultant[ID])</f>
        <v/>
      </c>
    </row>
    <row r="7">
      <c r="A7" t="inlineStr">
        <is>
          <t>Mean % Difference</t>
        </is>
      </c>
      <c r="B7" s="6">
        <f>AVERAGE(TMC_Consultant[Pct_Diff])</f>
        <v/>
      </c>
    </row>
    <row r="8">
      <c r="A8" t="inlineStr">
        <is>
          <t>Mean |% Difference|</t>
        </is>
      </c>
      <c r="B8" s="6">
        <f>AVERAGE(TMC_Consultant[Abs_Pct_Diff])</f>
        <v/>
      </c>
    </row>
    <row r="9">
      <c r="A9" t="inlineStr">
        <is>
          <t>Mean GEH (as-collected)</t>
        </is>
      </c>
      <c r="B9" s="7">
        <f>AVERAGE(TMC_Consultant[GEH])</f>
        <v/>
      </c>
    </row>
    <row r="10">
      <c r="A10" t="inlineStr">
        <is>
          <t>% GEH&lt;5 (as-collected)</t>
        </is>
      </c>
      <c r="B10" s="6">
        <f>COUNTIF(TMC_Consultant[GEH],"&lt;5")/COUNTA(TMC_Consultant[ID])</f>
        <v/>
      </c>
    </row>
    <row r="11">
      <c r="A11" t="inlineStr">
        <is>
          <t>Mean GEH (hourly rate)</t>
        </is>
      </c>
      <c r="B11" s="7">
        <f>AVERAGE(TMC_Consultant[GEH_Hourly_Rate])</f>
        <v/>
      </c>
    </row>
    <row r="12">
      <c r="A12" t="inlineStr">
        <is>
          <t>% GEH&lt;5 (hourly rate)</t>
        </is>
      </c>
      <c r="B12" s="6">
        <f>COUNTIF(TMC_Consultant[GEH_Hourly_Rate],"&lt;5")/COUNTA(TMC_Consultant[ID])</f>
        <v/>
      </c>
    </row>
    <row r="13">
      <c r="A13" t="inlineStr">
        <is>
          <t>Mean count duration (hrs)</t>
        </is>
      </c>
      <c r="B13" s="5">
        <f>AVERAGE(TMC_Consultant[Duration_Hours])</f>
        <v/>
      </c>
    </row>
    <row r="15" ht="70" customHeight="1">
      <c r="A15" s="9" t="inlineStr">
        <is>
          <t>Why GEH runs so high here: GEH scales with sqrt(volume) for a fixed relative error. A 13-18 hour count accumulates thousands of vehicles, so the same (or even better) % accuracy as the 15-minute Manual counts produces a much larger GEH -- a mechanical effect of count volume, not evidence the Vision Camera is less accurate here. The conventional GEH&lt;5 threshold was calibrated for hourly volumes, so GEH_Hourly_Rate (each total divided by its own count duration before computing GEH) is the fairer of the two bases above; even so, % Difference is the most directly meaningful comparison metric for this dataset, since it doesn't depend on duration.</t>
        </is>
      </c>
    </row>
  </sheetData>
  <mergeCells count="3">
    <mergeCell ref="A2:B2"/>
    <mergeCell ref="A1:B1"/>
    <mergeCell ref="A15:B15"/>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5" customWidth="1" min="1" max="1"/>
    <col width="16" customWidth="1" min="2" max="2"/>
    <col width="12" customWidth="1" min="3" max="3"/>
    <col width="10" customWidth="1" min="4" max="4"/>
    <col width="22" customWidth="1" min="5" max="5"/>
    <col width="20" customWidth="1" min="6" max="6"/>
  </cols>
  <sheetData>
    <row r="1">
      <c r="A1" s="11" t="inlineStr">
        <is>
          <t>Top 10 intersections by hourly-rate GEH -- candidates for follow-up</t>
        </is>
      </c>
    </row>
    <row r="2"/>
    <row r="3">
      <c r="A3" s="4" t="inlineStr">
        <is>
          <t>Intersection</t>
        </is>
      </c>
      <c r="B3" s="4" t="inlineStr">
        <is>
          <t>Duration (hrs)</t>
        </is>
      </c>
      <c r="C3" s="4" t="inlineStr">
        <is>
          <t>Consultant</t>
        </is>
      </c>
      <c r="D3" s="4" t="inlineStr">
        <is>
          <t>Vision</t>
        </is>
      </c>
      <c r="E3" s="4" t="inlineStr">
        <is>
          <t>% Diff</t>
        </is>
      </c>
      <c r="F3" s="4" t="inlineStr">
        <is>
          <t>GEH (hourly rate)</t>
        </is>
      </c>
    </row>
    <row r="4">
      <c r="A4" t="inlineStr">
        <is>
          <t>CSAH 30 (93rd Ave) at Troy Ln N</t>
        </is>
      </c>
      <c r="B4" s="5" t="n">
        <v>18</v>
      </c>
      <c r="C4" t="n">
        <v>23041</v>
      </c>
      <c r="D4" t="n">
        <v>17596</v>
      </c>
      <c r="E4" s="6" t="n">
        <v>-0.2363178681480838</v>
      </c>
      <c r="F4" s="7" t="n">
        <v>9.003592068069739</v>
      </c>
    </row>
    <row r="5">
      <c r="A5" t="inlineStr">
        <is>
          <t>CSAH 53 (66th St) at Lakeshore Dr / Rae Dr</t>
        </is>
      </c>
      <c r="B5" s="5" t="n">
        <v>13</v>
      </c>
      <c r="C5" t="n">
        <v>2530</v>
      </c>
      <c r="D5" t="n">
        <v>1162</v>
      </c>
      <c r="E5" s="6" t="n">
        <v>-0.5407114624505929</v>
      </c>
      <c r="F5" s="7" t="n">
        <v>8.830769985768235</v>
      </c>
    </row>
    <row r="6">
      <c r="A6" t="inlineStr">
        <is>
          <t>CSAH 158 (Gleason Rd) at Vernon Ave S</t>
        </is>
      </c>
      <c r="B6" s="5" t="n">
        <v>13</v>
      </c>
      <c r="C6" t="n">
        <v>11409</v>
      </c>
      <c r="D6" t="n">
        <v>8288</v>
      </c>
      <c r="E6" s="6" t="n">
        <v>-0.2735559645893593</v>
      </c>
      <c r="F6" s="7" t="n">
        <v>8.722421064421704</v>
      </c>
    </row>
    <row r="7">
      <c r="A7" t="inlineStr">
        <is>
          <t>CSAH 101 (Central Ave) at Wayzata Blvd - Master Controller</t>
        </is>
      </c>
      <c r="B7" s="5" t="n">
        <v>18</v>
      </c>
      <c r="C7" t="n">
        <v>7743</v>
      </c>
      <c r="D7" t="n">
        <v>4837</v>
      </c>
      <c r="E7" s="6" t="n">
        <v>-0.3753067286581429</v>
      </c>
      <c r="F7" s="7" t="n">
        <v>8.636425572550234</v>
      </c>
    </row>
    <row r="8">
      <c r="A8" t="inlineStr">
        <is>
          <t>CSAH 136 (Silver Lake Rd) at St Anthony Blvd</t>
        </is>
      </c>
      <c r="B8" s="5" t="n">
        <v>13</v>
      </c>
      <c r="C8" t="n">
        <v>15289</v>
      </c>
      <c r="D8" t="n">
        <v>11785</v>
      </c>
      <c r="E8" s="6" t="n">
        <v>-0.2291843809274642</v>
      </c>
      <c r="F8" s="7" t="n">
        <v>8.352783154414512</v>
      </c>
    </row>
    <row r="9">
      <c r="A9" t="inlineStr">
        <is>
          <t>CSAH 61 (Flying Cloud Dr) at Singletree Ln</t>
        </is>
      </c>
      <c r="B9" s="5" t="n">
        <v>13</v>
      </c>
      <c r="C9" t="n">
        <v>25988</v>
      </c>
      <c r="D9" t="n">
        <v>21937</v>
      </c>
      <c r="E9" s="6" t="n">
        <v>-0.1558796367554256</v>
      </c>
      <c r="F9" s="7" t="n">
        <v>7.258126014519639</v>
      </c>
    </row>
    <row r="10">
      <c r="A10" t="inlineStr">
        <is>
          <t>CSAH 31 (York Ave) at Southdale Exit</t>
        </is>
      </c>
      <c r="B10" s="5" t="n">
        <v>13</v>
      </c>
      <c r="C10" t="n">
        <v>21939</v>
      </c>
      <c r="D10" t="n">
        <v>18298</v>
      </c>
      <c r="E10" s="6" t="n">
        <v>-0.165960162268107</v>
      </c>
      <c r="F10" s="7" t="n">
        <v>7.119528028319619</v>
      </c>
    </row>
    <row r="11">
      <c r="A11" t="inlineStr">
        <is>
          <t xml:space="preserve">CSAH 28 (E Bush Lake Rd) at 78th St W </t>
        </is>
      </c>
      <c r="B11" s="5" t="n">
        <v>13</v>
      </c>
      <c r="C11" t="n">
        <v>21171</v>
      </c>
      <c r="D11" t="n">
        <v>17834</v>
      </c>
      <c r="E11" s="6" t="n">
        <v>-0.1576212743847716</v>
      </c>
      <c r="F11" s="7" t="n">
        <v>6.627342069274686</v>
      </c>
    </row>
    <row r="12">
      <c r="A12" t="inlineStr">
        <is>
          <t>CSAH 61 (Flying Cloud Dr) at Regional Center Rd</t>
        </is>
      </c>
      <c r="B12" s="5" t="n">
        <v>13</v>
      </c>
      <c r="C12" t="n">
        <v>20971</v>
      </c>
      <c r="D12" t="n">
        <v>17727</v>
      </c>
      <c r="E12" s="6" t="n">
        <v>-0.1546898097372562</v>
      </c>
      <c r="F12" s="7" t="n">
        <v>6.468147381667541</v>
      </c>
    </row>
    <row r="13">
      <c r="A13" t="inlineStr">
        <is>
          <t>CSAH 28 (E Bush Lake Rd) at American Blvd / Green Valley Dr</t>
        </is>
      </c>
      <c r="B13" s="5" t="n">
        <v>13</v>
      </c>
      <c r="C13" t="n">
        <v>12382</v>
      </c>
      <c r="D13" t="n">
        <v>10037</v>
      </c>
      <c r="E13" s="6" t="n">
        <v>-0.1893878210305282</v>
      </c>
      <c r="F13" s="7" t="n">
        <v>6.142965132115167</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2026-07-23T14:22:55Z</dcterms:created>
  <dcterms:modified xsi:type="dcterms:W3CDTF">2026-07-23T14:22:55Z</dcterms:modified>
</cp:coreProperties>
</file>