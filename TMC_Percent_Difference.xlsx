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L:\TO_Traffic\TMC\000a - ATMS\4_Detection\Vision_Camera_Validation_Sauharda\"/>
    </mc:Choice>
  </mc:AlternateContent>
  <xr:revisionPtr revIDLastSave="0" documentId="13_ncr:1_{C8331E3D-FD5F-4801-BEB7-8256FCF05864}" xr6:coauthVersionLast="47" xr6:coauthVersionMax="47" xr10:uidLastSave="{00000000-0000-0000-0000-000000000000}"/>
  <bookViews>
    <workbookView xWindow="-108" yWindow="-108" windowWidth="23256" windowHeight="13896" firstSheet="1" activeTab="2" xr2:uid="{E8E79223-47E4-4E7E-B8CC-0CD1904695E1}"/>
  </bookViews>
  <sheets>
    <sheet name="Results Summary" sheetId="5" r:id="rId1"/>
    <sheet name="1st Calibration" sheetId="7" r:id="rId2"/>
    <sheet name="Baseline" sheetId="6" r:id="rId3"/>
    <sheet name="1st Calibration Comparisons" sheetId="1" r:id="rId4"/>
    <sheet name="2nd Calibration" sheetId="4" r:id="rId5"/>
    <sheet name="2nd Calibration Comparisons" sheetId="8" r:id="rId6"/>
    <sheet name="Future Adjustments" sheetId="11" r:id="rId7"/>
    <sheet name="3rd Calibration" sheetId="12" r:id="rId8"/>
  </sheets>
  <definedNames>
    <definedName name="_xlnm._FilterDatabase" localSheetId="1" hidden="1">'1st Calibration'!$A$1:$V$22</definedName>
    <definedName name="_xlnm._FilterDatabase" localSheetId="3" hidden="1">'1st Calibration Comparisons'!$A$1:$V$50</definedName>
    <definedName name="_xlnm._FilterDatabase" localSheetId="4" hidden="1">'2nd Calibration'!$A$1:$V$1</definedName>
    <definedName name="_xlnm._FilterDatabase" localSheetId="5">'2nd Calibration Comparisons'!$A$1:$J$3</definedName>
    <definedName name="_xlnm._FilterDatabase" localSheetId="7" hidden="1">'3rd Calibration'!$A$1:$V$1</definedName>
    <definedName name="_xlnm._FilterDatabase" localSheetId="2" hidden="1">Baseline!$A$1:$V$153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0" i="5" l="1"/>
  <c r="L20" i="5"/>
  <c r="K20" i="5"/>
  <c r="M21" i="5"/>
  <c r="L21" i="5"/>
  <c r="K21" i="5" s="1"/>
  <c r="F23" i="5"/>
  <c r="E23" i="5"/>
  <c r="D23" i="5" s="1"/>
  <c r="F21" i="5"/>
  <c r="E21" i="5"/>
  <c r="D21" i="5" s="1"/>
  <c r="M12" i="5"/>
  <c r="L12" i="5"/>
  <c r="K12" i="5" s="1"/>
  <c r="M13" i="5"/>
  <c r="L13" i="5"/>
  <c r="K13" i="5" s="1"/>
  <c r="E13" i="5"/>
  <c r="D13" i="5" s="1"/>
  <c r="L5" i="5"/>
  <c r="K5" i="5" s="1"/>
  <c r="J5" i="5" s="1"/>
  <c r="L4" i="5"/>
  <c r="K4" i="5" s="1"/>
  <c r="J4" i="5" s="1"/>
  <c r="E7" i="5"/>
  <c r="D7" i="5" s="1"/>
  <c r="C7" i="5" s="1"/>
  <c r="F15" i="5"/>
  <c r="E15" i="5"/>
  <c r="D15" i="5" s="1"/>
  <c r="F13" i="5"/>
  <c r="E5" i="5"/>
  <c r="D5" i="5" s="1"/>
  <c r="C5" i="5" s="1"/>
  <c r="C17" i="8"/>
  <c r="C61" i="1"/>
  <c r="F20" i="5"/>
  <c r="E20" i="5"/>
  <c r="D20" i="5" s="1"/>
  <c r="C20" i="5" s="1"/>
  <c r="F12" i="5"/>
  <c r="E12" i="5"/>
  <c r="D12" i="5" s="1"/>
  <c r="C12" i="5" s="1"/>
  <c r="E4" i="5"/>
  <c r="D4" i="5" s="1"/>
  <c r="C4" i="5" s="1"/>
  <c r="F4" i="5" l="1"/>
  <c r="G12" i="5" l="1"/>
  <c r="F7" i="5" l="1"/>
  <c r="M4" i="5"/>
  <c r="J12" i="5" s="1"/>
  <c r="N12" i="5" s="1"/>
  <c r="J20" i="5" s="1"/>
  <c r="N20" i="5" s="1"/>
  <c r="M5" i="5"/>
  <c r="G20" i="5"/>
  <c r="J13" i="5" l="1"/>
  <c r="J21" i="5"/>
  <c r="C23" i="5"/>
  <c r="C15" i="5"/>
  <c r="L6" i="5"/>
  <c r="K6" i="5"/>
  <c r="J6" i="5"/>
  <c r="N13" i="5" l="1"/>
  <c r="J14" i="5" s="1"/>
  <c r="N21" i="5"/>
  <c r="G15" i="5"/>
  <c r="G23" i="5"/>
  <c r="K22" i="5" l="1"/>
  <c r="M22" i="5"/>
  <c r="L22" i="5"/>
  <c r="K14" i="5"/>
  <c r="M14" i="5"/>
  <c r="L14" i="5"/>
  <c r="J22" i="5"/>
  <c r="F5" i="5"/>
  <c r="C8" i="5" l="1"/>
  <c r="C13" i="5"/>
  <c r="C6" i="5"/>
  <c r="E8" i="5"/>
  <c r="C21" i="5"/>
  <c r="E6" i="5"/>
  <c r="D6" i="5"/>
  <c r="D8" i="5"/>
  <c r="G21" i="5" l="1"/>
  <c r="C24" i="5" s="1"/>
  <c r="G13" i="5"/>
  <c r="C16" i="5" s="1"/>
  <c r="C22" i="5" l="1"/>
  <c r="C14" i="5"/>
  <c r="F14" i="5"/>
  <c r="E14" i="5"/>
  <c r="F16" i="5"/>
  <c r="E16" i="5"/>
  <c r="D16" i="5"/>
  <c r="D14" i="5"/>
  <c r="D22" i="5"/>
  <c r="F22" i="5"/>
  <c r="E24" i="5"/>
  <c r="D24" i="5"/>
  <c r="F24" i="5"/>
  <c r="E22" i="5"/>
</calcChain>
</file>

<file path=xl/sharedStrings.xml><?xml version="1.0" encoding="utf-8"?>
<sst xmlns="http://schemas.openxmlformats.org/spreadsheetml/2006/main" count="4221" uniqueCount="563">
  <si>
    <t>CSAH 61 (Shady Oak Rd) at Dominic Dr / Smetana Rd</t>
  </si>
  <si>
    <t>CSAH 8 (71st Ave) at CSAH 130 (Broadway Ave)</t>
  </si>
  <si>
    <t>CSAH 61 (Shady Oak Rd) at Bren Rd - Master Controller</t>
  </si>
  <si>
    <t>CSAH 5 (Minnetonka Blvd) at Dakota Ave</t>
  </si>
  <si>
    <t>CSAH 10 (Bass Lake Rd) at Boone Ave</t>
  </si>
  <si>
    <t>CSAH 109 (Weaver Lake Rd) at CSAH 130 (Elm Creek) - Master Controller</t>
  </si>
  <si>
    <t>CSAH 81 (Bottineau Blvd) at 73rd Ave N BACKHAUL</t>
  </si>
  <si>
    <t>CSAH 130 (Elm Creek Blvd) at Fountains Dr-BACKHAUL</t>
  </si>
  <si>
    <t>CSAH 61 (Northwest Blvd) at 42nd Pl N</t>
  </si>
  <si>
    <t>CSAH 109 (Weaver Lake Rd) at 83rd Way N</t>
  </si>
  <si>
    <t>CSAH 152 (Brooklyn Blvd) at Kentucky Ave N BACKHAUL</t>
  </si>
  <si>
    <t>CSAH 61 (Shady Oak Rd) at K-tel Dr BACKHAUL</t>
  </si>
  <si>
    <t>CSAH 10 (Bass Lake Rd) at International Pkwy / Gettysburg Ave</t>
  </si>
  <si>
    <t>NA</t>
  </si>
  <si>
    <t>CSAH 10 (Bass Lake Rd) at Jersey Ave</t>
  </si>
  <si>
    <t>CSAH 10 (Bass Lake Rd) at Shingle Creek Pkwy</t>
  </si>
  <si>
    <t>CSAH 103 (West Broadway) at CSAH 130 / CSAH 152 (Brooklyn Blvd) - Master Controller</t>
  </si>
  <si>
    <t>CSAH 130 (Elm Creek Blvd) at Arbor Lakes Access</t>
  </si>
  <si>
    <t>CSAH 152 (Brooklyn Blvd) at Welcome Ave N</t>
  </si>
  <si>
    <t>CSAH 3 (Excelsior Blvd) at 17th Ave S</t>
  </si>
  <si>
    <t>CSAH 5 (Minnetonka Blvd) at Hampshire Ave S</t>
  </si>
  <si>
    <t>CSAH 5 (Minnetonka Blvd) at Louisiana Ave</t>
  </si>
  <si>
    <t>CSAH 5 (Minnetonka Blvd) at Texas Ave</t>
  </si>
  <si>
    <t>CSAH 81 (Bottineau Blvd) at 79th Ave N</t>
  </si>
  <si>
    <t>CSAH 81 (Bottineau Blvd) at Green Haven Dr / Lakeland Ave</t>
  </si>
  <si>
    <t xml:space="preserve">CSAH 9 (Rockford Rd) at Vicksburg Ln </t>
  </si>
  <si>
    <t>Intersection</t>
  </si>
  <si>
    <t>ID</t>
  </si>
  <si>
    <t>CSAH 8 (West Broadway) at CSAH 9 (Rockford Rd / 42nd Ave)</t>
  </si>
  <si>
    <t>CSAH 53 (66th St) at Logan Ave</t>
  </si>
  <si>
    <t>CSAH 53 (66th St) at 12th Ave S</t>
  </si>
  <si>
    <t>CSAH 53 (66th St) at Bloomington Ave S - Master Controller</t>
  </si>
  <si>
    <t>CSAH 32 (Penn Ave) at 76th St W</t>
  </si>
  <si>
    <t>CSAH 5 (Minnetonka Blvd) at CSAH 101 BACKHAUL</t>
  </si>
  <si>
    <t>CSAH 10 (Bass Lake Rd) at Xerxes Ave N</t>
  </si>
  <si>
    <t>CSAH 17 (France Ave) at 65th St W</t>
  </si>
  <si>
    <t>CSAH 156 (Winnetka Ave N) at Golden Valley Rd</t>
  </si>
  <si>
    <t>CSAH 35 (Portland Ave) at 90th St E</t>
  </si>
  <si>
    <t>CSAH 52 (Nicollet Ave) at 90th St</t>
  </si>
  <si>
    <t>CSAH 53 (66th St) at Sheridan Ave</t>
  </si>
  <si>
    <t>CSAH 1 (Old Shakopee Rd) at CSAH 17 (France Ave)</t>
  </si>
  <si>
    <t>CSAH 102 (Douglas Dr) at 36th Ave N</t>
  </si>
  <si>
    <t>CSAH 32 (Penn Ave) at 64th St W / Fire Station</t>
  </si>
  <si>
    <t>CSAH 156 (Winnetka Ave) at 36th Ave N</t>
  </si>
  <si>
    <t>CSAH 9 (Rockford Rd / 42nd Ave) at Boone Ave</t>
  </si>
  <si>
    <t xml:space="preserve">CSAH 52 (Nicollet Ave) at 82nd St </t>
  </si>
  <si>
    <t>CSAH 15 (Shoreline Dr) at CSAH 19 (Shadywood Rd)</t>
  </si>
  <si>
    <t>CSAH 30 (97th Ave) at CSAH 116 (Fletcher Ln) BACKHAUL</t>
  </si>
  <si>
    <t>CSAH 57 (57th Ave N) at Logan Ave N</t>
  </si>
  <si>
    <t>CSAH 14 (Zane Ave) at CSAH 109 (85th Ave N)</t>
  </si>
  <si>
    <t>CSAH 34 (Normandale Blvd) at 102nd St W BACKHAUL</t>
  </si>
  <si>
    <t>CSAH 70 (Medicine Lake Rd) at Boone Ave</t>
  </si>
  <si>
    <t>CSAH 102 (Douglas Dr) at 47th Ave N</t>
  </si>
  <si>
    <t>CSAH 3 (Excelsior Blvd) at CSAH 60 (Baker Rd)</t>
  </si>
  <si>
    <t>CSAH 52 (Nicollet Ave) at 79th St / American Blvd</t>
  </si>
  <si>
    <t>CSAH 34 (Normandale Blvd) at 98th St W</t>
  </si>
  <si>
    <t>CSAH 5 (Minnetonka Blvd) at Williston Rd</t>
  </si>
  <si>
    <t>CSAH 5 (Minnetonka Blvd) at CSAH 16 (McGinty Rd W)</t>
  </si>
  <si>
    <t>CSAH 10 (Bass Lake Rd) at Regent Ave</t>
  </si>
  <si>
    <t>CSAH 52 (Nicollet Ave) at 84th St</t>
  </si>
  <si>
    <t>CSAH 156 (Winnetka Ave) at 32nd Ave N</t>
  </si>
  <si>
    <t>CSAH 61 (Plymouth Rd) at Cartway Dr</t>
  </si>
  <si>
    <t>CSAH 1 (Old Shakopee Rd) at Xerxes Ave S</t>
  </si>
  <si>
    <t>CSAH 3 (Excelsior Blvd) at 8th Ave S</t>
  </si>
  <si>
    <t>CSAH 5 (Minnetonka Blvd) at CSAH 61 W Jct (Plymouth Rd)</t>
  </si>
  <si>
    <t>CSAH 10 (Bass Lake Rd) at Zachary Ln BACKHAUL</t>
  </si>
  <si>
    <t>CSAH 61 (Plymouth Rd) at Ridgedale Dr</t>
  </si>
  <si>
    <t>CSAH 9 (Rockford Rd) at Larch Ln BACKHAUL</t>
  </si>
  <si>
    <t>CSAH 156 (Winnetka Ave) at 10th Ave N - Master Controller</t>
  </si>
  <si>
    <t>CSAH 10 (Bass Lake Rd) at CSAH 152 (Brooklyn Blvd) - Master Controller</t>
  </si>
  <si>
    <t>CSAH 14 (Zane Ave) at CSAH 152 (Brooklyn Blvd) - Master Controller</t>
  </si>
  <si>
    <t>CSAH 152 (Brooklyn Blvd) at 55th Ave N</t>
  </si>
  <si>
    <t>CSAH 152 (Brooklyn Blvd) at 63rd Ave N</t>
  </si>
  <si>
    <t>CSAH 152 (Brooklyn Blvd) at 65th Ave N</t>
  </si>
  <si>
    <t>CSAH 130 (69th Ave N) at CSAH 152 (Brooklyn Blvd)</t>
  </si>
  <si>
    <t>CSAH 152 (Brooklyn Blvd) at Noble Ave / 71st Ave</t>
  </si>
  <si>
    <t>CSAH 152 (Brooklyn Blvd) at 73rd Ave N / Regent Ave</t>
  </si>
  <si>
    <t>CSAH 152 (Brooklyn Blvd / Osseo Rd) at 49th Ave N BACKHAUL</t>
  </si>
  <si>
    <t>CSAH 61 (Plymouth Rd) at I-394 N Frontage Rd</t>
  </si>
  <si>
    <t>CSAH 17 (France Ave) at I-494 N Ramp / 78th St</t>
  </si>
  <si>
    <t>CSAH 28 (E Bush Lake Rd) at 84th St W / Chalet Rd</t>
  </si>
  <si>
    <t>CSAH 53 (66th St) at Hub Shopping Ctr</t>
  </si>
  <si>
    <t>CSAH 5 (Minnetonka Blvd) at CSAH 61 E Jct (Shady Oak Rd) - Master Controller</t>
  </si>
  <si>
    <t>CSAH 10 (Bass Lake Rd) at Sherburne Ave</t>
  </si>
  <si>
    <t>CSAH 70 (Medicine Lake Rd) at Nevada Ave</t>
  </si>
  <si>
    <t>CSAH 61 (Hemlock Lane) at West Eagle Lake Dr</t>
  </si>
  <si>
    <t>CSAH 10 (Bass Lake Rd) at Sycamore Ln / Prudential Bldg - Master Controller</t>
  </si>
  <si>
    <t>CSAH 15 (Shoreline Dr) at CSAH 51 (Sunset Dr)</t>
  </si>
  <si>
    <t>CSAH 81 (Bottineau Blvd) at Abbott Ave N</t>
  </si>
  <si>
    <t>CSAH 81 (Bottineau Blvd) at 36th Ave N</t>
  </si>
  <si>
    <t>CSAH 81 (Bottineau Blvd) at 40th Ave N</t>
  </si>
  <si>
    <t>CSAH 81 (Bottineau Blvd) at 41st Ave N</t>
  </si>
  <si>
    <t>CSAH 9 (42nd Ave) at CSAH 81 (Bottineau Blvd)</t>
  </si>
  <si>
    <t>CSAH 81 (Bottineau Blvd) at CSAH 121 (Fernbrook Ln)</t>
  </si>
  <si>
    <t>CSAH 13 (Brockton Lane) at CSAH 81 (Industrial Blvd) / CSAH 101 (County Road 101)</t>
  </si>
  <si>
    <t>CSAH 6 (County Road 6) at CSAH 101 (Central Ave)</t>
  </si>
  <si>
    <t>CSAH 61 (Shady Oak Rd) at City West Pkwy (S Jct) / Bryant Lk Dr</t>
  </si>
  <si>
    <t>CSAH 152 (Brooklyn Blvd) at Cub Foods Driveway</t>
  </si>
  <si>
    <t>CSAH 61 (Plymouth Rd) at Sherwood Place / Regency Woods Apartments</t>
  </si>
  <si>
    <t>CSAH 152 (Brooklyn Blvd) at Unity Ave N</t>
  </si>
  <si>
    <t>CSAH 10 (Bass Lake Rd) at Nathan Ln</t>
  </si>
  <si>
    <t>CSAH 61 (Hemlock Lane) at E Fish Lake Rd</t>
  </si>
  <si>
    <t>CSAH 61 (Plymouth Rd) at Cedar Lake Rd</t>
  </si>
  <si>
    <t>CSAH 14 (Douglas Dr) at 109th Ave N - Master Controller</t>
  </si>
  <si>
    <t>CSAH 101 (Central Ave) at 14th Ave N - Master Controller</t>
  </si>
  <si>
    <t>CSAH 109 (85th Ave N) at NHCC Entrance - Master Controller</t>
  </si>
  <si>
    <t>CSAH 109 (85th Ave N) at Regent Ave N</t>
  </si>
  <si>
    <t>CSAH 5 (Minnetonka Blvd) at CSAH 60 (Baker Rd)</t>
  </si>
  <si>
    <t>CSAH 61 (Northwest Blvd) at Campus Dr</t>
  </si>
  <si>
    <t>CSAH 32 (Penn Ave) at 7900 Driveway</t>
  </si>
  <si>
    <t>CSAH 1 (Old Shakopee Rd) at Nesbitt Ave</t>
  </si>
  <si>
    <t>CSAH 5 (Minnetonka Blvd) at I-494 E Ramp</t>
  </si>
  <si>
    <t>CSAH 130 (69th Ave N) at Zane Ave N</t>
  </si>
  <si>
    <t>CSAH 101 at Lake Street Extension</t>
  </si>
  <si>
    <t>CSAH 31 (York Ave) at Southdale Exit</t>
  </si>
  <si>
    <t>CSAH 53 (66th St) at Southdale Exit</t>
  </si>
  <si>
    <t>CSAH 101 (County Rd 101) at Seven Hi Drive (Cub Foods)</t>
  </si>
  <si>
    <t>CSAH 24 (County Rd 24) at Shopping Center Ent</t>
  </si>
  <si>
    <t>CSAH 61 (Northwest Blvd) at Schmidt Lake Rd BACKHAUL</t>
  </si>
  <si>
    <t>CSAH 61 (Northwest Blvd) at W Medicine Lake Dr</t>
  </si>
  <si>
    <t>CSAH 10 (Bass Lake Rd) at Vicksburg Ln</t>
  </si>
  <si>
    <t>CSAH 61 (Hemlock Ln) at 62nd Place</t>
  </si>
  <si>
    <t>CSAH 152 (Brooklyn Blvd) at 68th Ave N</t>
  </si>
  <si>
    <t>CSAH 130 (77th Ave N) at Zachary Ln</t>
  </si>
  <si>
    <t>CSAH 130 (77th Ave N) at Revere Ln</t>
  </si>
  <si>
    <t>CSAH 24 (County Road 24) at CSAH 101 (County Road 101) - Master Controller</t>
  </si>
  <si>
    <t>CSAH 101 (County Road 101) at Medina Rd BACKHAUL</t>
  </si>
  <si>
    <t>CSAH 158 (Gleason Rd) at Vernon Ave S</t>
  </si>
  <si>
    <t>CSAH 30 (93rd Ave) at Upland Ln N</t>
  </si>
  <si>
    <t>CSAH 28 (E Bush Lake Rd) at American Blvd / Green Valley Dr</t>
  </si>
  <si>
    <t>CSAH 32 (Penn Ave) at 78th / Best Buy Entr</t>
  </si>
  <si>
    <t>CSAH 14 (Zane Ave) at Oak Grove Pkwy (97th Ave)</t>
  </si>
  <si>
    <t>CSAH 9 (Rockford Rd) at Polaris Ln N (Old Rockford)</t>
  </si>
  <si>
    <t>CSAH 9 (Rockford Rd) at Dunkirk Ln / 36th Ave N</t>
  </si>
  <si>
    <t>CSAH 30 (97th Ave) at CSAH 101 (Brockton Ln N)</t>
  </si>
  <si>
    <t>CSAH 10 (County Road 10) at CSAH 116 (Fletcher Ln)</t>
  </si>
  <si>
    <t>CSAH 3 (Excelsior Blvd) at Jackson Ave N / Milwaukee St</t>
  </si>
  <si>
    <t>CSAH 101 (County Road 101) at Ridgewood Rd</t>
  </si>
  <si>
    <t>CSAH 81 (County Road 81) at Maple Grove Pkwy</t>
  </si>
  <si>
    <t>CSAH 30 (93rd Ave) at Troy Ln N</t>
  </si>
  <si>
    <t>CSAH 30 (93rd Ave) at Lawndale Ln N</t>
  </si>
  <si>
    <t>CSAH 1 (Pioneer Trail) at CSAH 61 (Flying Cloud Dr)</t>
  </si>
  <si>
    <t>CSAH 61 (Flying Cloud Dr) at College View Dr</t>
  </si>
  <si>
    <t>CSAH 61 (Flying Cloud Dr) at Anderson Lakes Pkwy</t>
  </si>
  <si>
    <t>CSAH 61 (Flying Cloud Dr) at Fountain Pl</t>
  </si>
  <si>
    <t>CSAH 61 (Flying Cloud Dr) at Prairie Center Dr BACKHAUL</t>
  </si>
  <si>
    <t>CSAH 61 (Flying Cloud Dr) at Regional Center Rd</t>
  </si>
  <si>
    <t>CSAH 61 (Flying Cloud Dr) at Singletree Ln</t>
  </si>
  <si>
    <t>CSAH 61 (Flying Cloud Dr) at Leona Rd / Eden Rd</t>
  </si>
  <si>
    <t>CSAH 103 (Winnetka Ave N) at 109th Ave N</t>
  </si>
  <si>
    <t>CSAH 81 (Bottineau Blvd) at 83rd Ave N BACKHAUL</t>
  </si>
  <si>
    <t>CSAH 12 (Noble Pkwy) at Edinbrook Parkway</t>
  </si>
  <si>
    <t>CSAH 81 (Bottineau Blvd) at Elm Creek Blvd N Ramp BACKHAUL</t>
  </si>
  <si>
    <t>CSAH 81 (Bottineau Blvd) at Elm Creek Blvd S Ramp - Master Controller</t>
  </si>
  <si>
    <t>CSAH 121 (Fernbrook Ln) at Cartway Rd</t>
  </si>
  <si>
    <t>CSAH 81 (Bottineau Blvd) at Holly Ln N</t>
  </si>
  <si>
    <t>EBL</t>
  </si>
  <si>
    <t>EBT</t>
  </si>
  <si>
    <t>EBR</t>
  </si>
  <si>
    <t>EB Total</t>
  </si>
  <si>
    <t>WBL</t>
  </si>
  <si>
    <t xml:space="preserve">WBT </t>
  </si>
  <si>
    <t>WBR</t>
  </si>
  <si>
    <t>WB Total</t>
  </si>
  <si>
    <t>NBL</t>
  </si>
  <si>
    <t>NBT</t>
  </si>
  <si>
    <t>NBR</t>
  </si>
  <si>
    <t>NB Total</t>
  </si>
  <si>
    <t>SBL</t>
  </si>
  <si>
    <t>SBT</t>
  </si>
  <si>
    <t>SBR</t>
  </si>
  <si>
    <t>SB Total</t>
  </si>
  <si>
    <t>Total</t>
  </si>
  <si>
    <t>Time of Day</t>
  </si>
  <si>
    <t>PM</t>
  </si>
  <si>
    <t>Date</t>
  </si>
  <si>
    <t>AM</t>
  </si>
  <si>
    <t>off-peak</t>
  </si>
  <si>
    <t>?</t>
  </si>
  <si>
    <t>CSAH 3 (Excelsior Blvd) at CSAH 20 (Blake Rd)</t>
  </si>
  <si>
    <t>CSAH 3 (Excelsior Blvd) at Brookside Ave / Alabama Ave S BACKHAUL</t>
  </si>
  <si>
    <t>CSAH 53 (66th St) at Vincent Ave</t>
  </si>
  <si>
    <t>CSAH 32 (Penn Ave) at CSAH 53 (66th St) - Master Controller Z12</t>
  </si>
  <si>
    <t>CSAH 52 (Nicollet Ave) at 65th St</t>
  </si>
  <si>
    <t>CSAH 17 (France Ave) at 84th St W BACKHAUL</t>
  </si>
  <si>
    <t>CSAH 158 (Vernon Ave) at Interlachen Blvd</t>
  </si>
  <si>
    <t>CSAH 17 (France Ave) at 58th St S</t>
  </si>
  <si>
    <t>CSAH 35 (Portland Ave) at 86th St E (BACKHAUL)</t>
  </si>
  <si>
    <t>CSAH 103 (West Broadway) at Candlewood Dr</t>
  </si>
  <si>
    <t>CSAH 12 (Noble Pkwy) at 93rd Ave</t>
  </si>
  <si>
    <t>CSAH 136 (Silver Lake Rd) at 33rd Ave NE</t>
  </si>
  <si>
    <t>CSAH 15 (Shoreline Dr) at CSAH 125 (Interlachen Rd) - Master Controller</t>
  </si>
  <si>
    <t xml:space="preserve">CSAH 1 (Old Shakopee Rd) at CSAH 34 (Normandale Blvd) </t>
  </si>
  <si>
    <t>CSAH 53 (66th St) at Lakeshore Dr / Rae Dr</t>
  </si>
  <si>
    <t>CSAH 9 (Rockford Rd) at Lancaster Ln / Nathan Ln</t>
  </si>
  <si>
    <t>CSAH 130 (West Broadway) at 73rd Ave N</t>
  </si>
  <si>
    <t>CSAH 6 (County Road 6) at Fernbrook Ln - Master Controller</t>
  </si>
  <si>
    <t xml:space="preserve">CSAH 28 (E Bush Lake Rd) at 78th St W </t>
  </si>
  <si>
    <t>CSAH 14 (Zane Ave) at CSAH 30 (93rd Ave N)</t>
  </si>
  <si>
    <t>CSAH 153 (Kenzie Ter) at Kenzington Apts</t>
  </si>
  <si>
    <t>CSAH 25 (Hwy 7) at Lynn Ave</t>
  </si>
  <si>
    <t>CSAH 88 (New Brighton Blvd) at St Anthony Blvd</t>
  </si>
  <si>
    <t>CSAH 88 (New Brighton Blvd) at CSAH 94 (29th Ave NE)</t>
  </si>
  <si>
    <t>CSAH 136 (Silver Lake Rd) at St Anthony Blvd</t>
  </si>
  <si>
    <t>CSAH 81 (Bottineau Blvd) at CSAH 130 / CSAH 152 (Brooklyn Blvd)</t>
  </si>
  <si>
    <t>CSAH 81 (Bottineau Blvd) at CSAH 109 (85th Ave N) - Master Controller</t>
  </si>
  <si>
    <t>CSAH 101 (Central Ave) at Wayzata Blvd - Master Controller</t>
  </si>
  <si>
    <t>CSAH 15 (Lynwood Blvd) at CSAH 110 (Commerce Blvd)</t>
  </si>
  <si>
    <t>CSAH 103 (West Broadway) at Dragon Star Supermarket/Rainbow Foods Driveway</t>
  </si>
  <si>
    <t>CSAH 1 (Pioneer Trail) at CSAH 4  (Eden Prairie Rd)</t>
  </si>
  <si>
    <t>CSAH 1 (Pioneer Trail) at Homeward Hills Rd</t>
  </si>
  <si>
    <t xml:space="preserve">CSAH 1 (Pioneer Trail) at Franlo Rd </t>
  </si>
  <si>
    <t>CSAH 4 (Eden Prairie Rd) at Wagner Way</t>
  </si>
  <si>
    <t>CSAH 27 (Stinson Blvd NE) at 37th Ave NE</t>
  </si>
  <si>
    <t>CSAH 109 (85th Ave N) at Xerxes Ave N</t>
  </si>
  <si>
    <t>CSAH 152 (Brooklyn Blvd) at Jolly Lane</t>
  </si>
  <si>
    <t>CSAH 130 (West Broadway) at 76th Ave N</t>
  </si>
  <si>
    <t>CSAH 110 (Commerce Blvd) at Three Points Blvd</t>
  </si>
  <si>
    <t>CSAH 4 (Eden Prairie Rd) at Scenic Heights Rd</t>
  </si>
  <si>
    <t>CSAH 8 (West Broadway) at 57th Ave N</t>
  </si>
  <si>
    <t>CSAH 1 (Pioneer Trail) at Mitchell Rd</t>
  </si>
  <si>
    <t>CSAH 109 (85th Ave N) at Logan Ave N/ Edinbugh Center Dr</t>
  </si>
  <si>
    <t>CSAH 4 (Eden Prairie Rd) at Edenwood Dr BACKHAUL</t>
  </si>
  <si>
    <t>CSAH 101 (County Rd 101) at Hutchins Dr</t>
  </si>
  <si>
    <t>CSAH 4 (Eden Prairie Rd) at Timber Lake Dr / Lincoln Ln</t>
  </si>
  <si>
    <t>CSAH 4 (Eden Prairie Rd) at Candlewood Pkwy</t>
  </si>
  <si>
    <t>CSAH 4 (Eden Prairie Rd) at Terrey Pine Dr</t>
  </si>
  <si>
    <t>CSAH 30 (93rd Ave) at CSAH 103 (West Broadway)</t>
  </si>
  <si>
    <t>CSAH 40 (Glenwood Ave) at Xenia Ave S</t>
  </si>
  <si>
    <t>CSAH 1 (Pioneer Trail) at Dell Rd</t>
  </si>
  <si>
    <t>CSAH 24 (County Rd 24) at Medina Rd</t>
  </si>
  <si>
    <t>CSAH 109 (85th Ave N) at Edinbrook Pkwy N</t>
  </si>
  <si>
    <t>CSAH 1 (Pioneer Trail) at Staring Lake Parkway</t>
  </si>
  <si>
    <t>CSAH 1 (Pioneer Trail) at Bennett Place</t>
  </si>
  <si>
    <t>CSAH 110 (Commerce Blvd) at Sunnyfield Rd E</t>
  </si>
  <si>
    <t>CSAH 5 (Minnetonka Blvd) at CSAH 73 (Hopkins Crossroad)</t>
  </si>
  <si>
    <t>CSAH 130 (77th Ave N) at Boone Ave N</t>
  </si>
  <si>
    <t>CSAH 19 (Manitou Rd) at Smithtown Rd</t>
  </si>
  <si>
    <t>CSAH 73 (Hopkins Crossroad) at Minnetonka Mills Rd / 5th St N</t>
  </si>
  <si>
    <t>CSAH 144 (141st Ave N) at Rogers High School W Entr</t>
  </si>
  <si>
    <t>CSAH 47 at CSAH 101 (Brockton Lane)</t>
  </si>
  <si>
    <t>CSAH 61 (Flying Cloud Dr) at Charlson Rd</t>
  </si>
  <si>
    <t>CSAH 81 (Main St) at John Milless Dr / Industrial Blvd</t>
  </si>
  <si>
    <t>CSAH 81 (Industrial Blvd) at John Deere Ln</t>
  </si>
  <si>
    <t>CSAH 81 (Industrial Blvd) at John Milless Dr / Memorial Dr</t>
  </si>
  <si>
    <t>CSAH 144 (141st Ave N) at Northdale Blvd</t>
  </si>
  <si>
    <t>CSAH 144 (141st Ave N) at James Rd/Rogers Dr</t>
  </si>
  <si>
    <t>CSAH 73 (Hopkins Crossroad) at Wayzata Blvd / North Frontage Road</t>
  </si>
  <si>
    <t>CSAH 73 (Hopkins Crossroad) at S Frontage Rd</t>
  </si>
  <si>
    <t>CSAH 73 (Hopkins Crossroad) at Fairfield Road</t>
  </si>
  <si>
    <t>CSAH 81 (Bottineau) at 35th Ave/HyVee</t>
  </si>
  <si>
    <t>CSAH 61 (Flying Cloud Dr) at Viking Drive</t>
  </si>
  <si>
    <t>CSAH 61 (Hemlock Ln) at Arbor Lakes Parkway</t>
  </si>
  <si>
    <t>CSAH 61 (Hemlock Ln) at 82nd Ave</t>
  </si>
  <si>
    <t>CSAH 61 (Zachary Ln N) at 89th Ave N</t>
  </si>
  <si>
    <t>CSAH 121 (Maple Grove Pkwy) at Upland Ln</t>
  </si>
  <si>
    <t>CSAH 121 (Maple Grove Pkwy) at Hospital Dr</t>
  </si>
  <si>
    <t>CSAH 121 (Maple Grove Pkwy) at 99th Ave / Grove Cir</t>
  </si>
  <si>
    <t>CSAH 30 (93rd Ave) at CSAH 121 (Maple Grove Pkwy)</t>
  </si>
  <si>
    <t>CSAH 103 (West Broadway) at Oak Grove Pkwy</t>
  </si>
  <si>
    <t>192.168.53.73</t>
  </si>
  <si>
    <t>192.168.53.201</t>
  </si>
  <si>
    <t>192.168.36.108</t>
  </si>
  <si>
    <t>192.168.36.172</t>
  </si>
  <si>
    <t>192.168.126.41</t>
  </si>
  <si>
    <t>192.168.35.204</t>
  </si>
  <si>
    <t>192.168.131.201</t>
  </si>
  <si>
    <t>192.168.24.204</t>
  </si>
  <si>
    <t>192.168.128.9</t>
  </si>
  <si>
    <t>192.168.135.233</t>
  </si>
  <si>
    <t>192.168.59.9</t>
  </si>
  <si>
    <t>192.168.137.169</t>
  </si>
  <si>
    <t>192.168.128.73</t>
  </si>
  <si>
    <t>192.168.47.201</t>
  </si>
  <si>
    <t>192.168.36.236</t>
  </si>
  <si>
    <t>192.168.39.172</t>
  </si>
  <si>
    <t>192.168.115.9</t>
  </si>
  <si>
    <t>192.168.51.137</t>
  </si>
  <si>
    <t>192.168.28.76</t>
  </si>
  <si>
    <t>192.168.132.9</t>
  </si>
  <si>
    <t>192.168.22.44</t>
  </si>
  <si>
    <t>192.168.137.41</t>
  </si>
  <si>
    <t>192.168.136.233</t>
  </si>
  <si>
    <t>192.168.137.105</t>
  </si>
  <si>
    <t>192.168.137.137</t>
  </si>
  <si>
    <t>192.168.137.73</t>
  </si>
  <si>
    <t>192.168.33.44</t>
  </si>
  <si>
    <t>192.168.30.236</t>
  </si>
  <si>
    <t>192.168.130.9</t>
  </si>
  <si>
    <t>192.168.128.137</t>
  </si>
  <si>
    <t>192.168.51.73</t>
  </si>
  <si>
    <t>192.168.122.105</t>
  </si>
  <si>
    <t>192.168.122.201</t>
  </si>
  <si>
    <t>192.168.123.9</t>
  </si>
  <si>
    <t>192.168.133.41</t>
  </si>
  <si>
    <t>192.168.137.201</t>
  </si>
  <si>
    <t>192.168.17.41</t>
  </si>
  <si>
    <t>192.168.33.108</t>
  </si>
  <si>
    <t>192.168.51.105</t>
  </si>
  <si>
    <t>192.168.129.9</t>
  </si>
  <si>
    <t>192.168.133.137</t>
  </si>
  <si>
    <t>192.168.29.108</t>
  </si>
  <si>
    <t>192.168.122.137</t>
  </si>
  <si>
    <t>192.168.17.105</t>
  </si>
  <si>
    <t>192.168.132.233</t>
  </si>
  <si>
    <t>192.168.131.9</t>
  </si>
  <si>
    <t>192.168.133.105</t>
  </si>
  <si>
    <t>192.168.133.169</t>
  </si>
  <si>
    <t>192.168.133.73</t>
  </si>
  <si>
    <t>192.168.16.9</t>
  </si>
  <si>
    <t>192.168.132.169</t>
  </si>
  <si>
    <t>192.168.122.73</t>
  </si>
  <si>
    <t>192.168.39.236</t>
  </si>
  <si>
    <t>192.168.17.73</t>
  </si>
  <si>
    <t>192.168.122.169</t>
  </si>
  <si>
    <t>192.168.122.233</t>
  </si>
  <si>
    <t>192.168.129.41</t>
  </si>
  <si>
    <t>192.168.125.105</t>
  </si>
  <si>
    <t>192.168.33.11</t>
  </si>
  <si>
    <t>192.168.128.233</t>
  </si>
  <si>
    <t>192.168.125.137</t>
  </si>
  <si>
    <t>192.168.129.137</t>
  </si>
  <si>
    <t>192.168.25.44</t>
  </si>
  <si>
    <t>192.168.124.41</t>
  </si>
  <si>
    <t>192.168.135.9</t>
  </si>
  <si>
    <t>192.168.129.233</t>
  </si>
  <si>
    <t>192.168.129.201</t>
  </si>
  <si>
    <t>192.168.129.169</t>
  </si>
  <si>
    <t>192.168.129.73</t>
  </si>
  <si>
    <t>192.168.129.105</t>
  </si>
  <si>
    <t>192.168.125.9</t>
  </si>
  <si>
    <t>192.168.125.41</t>
  </si>
  <si>
    <t>192.168.137.9</t>
  </si>
  <si>
    <t>192.168.27.9</t>
  </si>
  <si>
    <t>192.168.59.41</t>
  </si>
  <si>
    <t>192.168.136.169</t>
  </si>
  <si>
    <t>192.168.136.137</t>
  </si>
  <si>
    <t>192.168.136.201</t>
  </si>
  <si>
    <t>192.168.136.105</t>
  </si>
  <si>
    <t>192.168.136.73</t>
  </si>
  <si>
    <t>192.168.136.41</t>
  </si>
  <si>
    <t>192.168.25.108</t>
  </si>
  <si>
    <t>192.168.15.233</t>
  </si>
  <si>
    <t>IP</t>
  </si>
  <si>
    <t>192.168.116.41</t>
  </si>
  <si>
    <t>192.168.112.73</t>
  </si>
  <si>
    <t>192.168.112.105</t>
  </si>
  <si>
    <t>192.168.112.169</t>
  </si>
  <si>
    <t>192.168.36.204</t>
  </si>
  <si>
    <t>192.168.37.44</t>
  </si>
  <si>
    <t>192.168.37.76</t>
  </si>
  <si>
    <t>192.168.19.105</t>
  </si>
  <si>
    <t>192.168.130.137</t>
  </si>
  <si>
    <t>192.168.46.169</t>
  </si>
  <si>
    <t>192.168.112.137</t>
  </si>
  <si>
    <t>192.168.33.236</t>
  </si>
  <si>
    <t>192.168.24.172</t>
  </si>
  <si>
    <t>192.168.128.41</t>
  </si>
  <si>
    <t>192.168.127.73</t>
  </si>
  <si>
    <t>192.168.36.140</t>
  </si>
  <si>
    <t>192.168.36.76</t>
  </si>
  <si>
    <t>192.168.15.73</t>
  </si>
  <si>
    <t>192.168.19.9</t>
  </si>
  <si>
    <t>192.168.23.236</t>
  </si>
  <si>
    <t>192.168.115.73</t>
  </si>
  <si>
    <t>192.168.126.233</t>
  </si>
  <si>
    <t>192.168.46.73</t>
  </si>
  <si>
    <t>192.168.128.169</t>
  </si>
  <si>
    <t>192.168.46.233</t>
  </si>
  <si>
    <t>192.168.24.236</t>
  </si>
  <si>
    <t>192.168.45.233</t>
  </si>
  <si>
    <t>192.168.47.9</t>
  </si>
  <si>
    <t>192.168.22.108</t>
  </si>
  <si>
    <t>192.168.123.233</t>
  </si>
  <si>
    <t>192.168.28.236</t>
  </si>
  <si>
    <t>192.168.15.41</t>
  </si>
  <si>
    <t>192.168.52.73</t>
  </si>
  <si>
    <t>192.168.126.201</t>
  </si>
  <si>
    <t>192.168.123.201</t>
  </si>
  <si>
    <t>192.168.133.201</t>
  </si>
  <si>
    <t>192.168.133.233</t>
  </si>
  <si>
    <t>192.168.46.137</t>
  </si>
  <si>
    <t>192.168.127.9</t>
  </si>
  <si>
    <t>192.168.24.11</t>
  </si>
  <si>
    <t>192.168.39.140</t>
  </si>
  <si>
    <t>192.168.47.233</t>
  </si>
  <si>
    <t>192.168.52.169</t>
  </si>
  <si>
    <t>192.168.41.9</t>
  </si>
  <si>
    <t>192.168.52.105</t>
  </si>
  <si>
    <t>192.168.45.137</t>
  </si>
  <si>
    <t>192.168.33.172</t>
  </si>
  <si>
    <t>192.168.41.137</t>
  </si>
  <si>
    <t>192.168.114.201</t>
  </si>
  <si>
    <t>192.168.24.140</t>
  </si>
  <si>
    <t>192.168.23.76</t>
  </si>
  <si>
    <t>192.168.18.41</t>
  </si>
  <si>
    <t>192.168.23.108</t>
  </si>
  <si>
    <t>192.168.123.105</t>
  </si>
  <si>
    <t>192.168.18.137</t>
  </si>
  <si>
    <t>192.168.18.73</t>
  </si>
  <si>
    <t>192.168.22.204</t>
  </si>
  <si>
    <t>192.168.23.44</t>
  </si>
  <si>
    <t>192.168.23.11</t>
  </si>
  <si>
    <t>192.168.23.140</t>
  </si>
  <si>
    <t>192.168.51.169</t>
  </si>
  <si>
    <t>192.168.39.108</t>
  </si>
  <si>
    <t>192.168.35.108</t>
  </si>
  <si>
    <t>192.168.28.140</t>
  </si>
  <si>
    <t>192.168.132.73</t>
  </si>
  <si>
    <t>192.168.37.10</t>
  </si>
  <si>
    <t>192.168.41.41</t>
  </si>
  <si>
    <t>192.168.46.105</t>
  </si>
  <si>
    <t>192.168.29.11</t>
  </si>
  <si>
    <t>192.168.16.41</t>
  </si>
  <si>
    <t>192.168.37.139</t>
  </si>
  <si>
    <t>192.168.45.41</t>
  </si>
  <si>
    <t>192.168.128.105</t>
  </si>
  <si>
    <t>192.168.31.172</t>
  </si>
  <si>
    <t>192.168.27.41</t>
  </si>
  <si>
    <t>192.168.43.233</t>
  </si>
  <si>
    <t>192.168.43.201</t>
  </si>
  <si>
    <t>192.168.43.169</t>
  </si>
  <si>
    <t>192.168.43.137</t>
  </si>
  <si>
    <t>192.168.42.169</t>
  </si>
  <si>
    <t>192.168.30.76</t>
  </si>
  <si>
    <t>192.168.29.236</t>
  </si>
  <si>
    <t>192.168.26.204</t>
  </si>
  <si>
    <t>192.168.42.41</t>
  </si>
  <si>
    <t>192.168.33.140</t>
  </si>
  <si>
    <t>192.168.39.204</t>
  </si>
  <si>
    <t>192.168.22.236</t>
  </si>
  <si>
    <t>192.168.45.169</t>
  </si>
  <si>
    <t>192.168.37.171</t>
  </si>
  <si>
    <t>192.168.28.172</t>
  </si>
  <si>
    <t>192.168.40.233</t>
  </si>
  <si>
    <t>192.168.42.105</t>
  </si>
  <si>
    <t>192.168.21.205</t>
  </si>
  <si>
    <t>192.168.20.76</t>
  </si>
  <si>
    <t>192.168.20.204</t>
  </si>
  <si>
    <t>192.168.20.236</t>
  </si>
  <si>
    <t>192.168.134.41</t>
  </si>
  <si>
    <t>192.168.33.204</t>
  </si>
  <si>
    <t>192.168.38.171</t>
  </si>
  <si>
    <t>192.168.19.169</t>
  </si>
  <si>
    <t>192.168.45.201</t>
  </si>
  <si>
    <t>192.168.47.169</t>
  </si>
  <si>
    <t>192.168.134.9</t>
  </si>
  <si>
    <t>192.168.47.41</t>
  </si>
  <si>
    <t>192.168.130.169</t>
  </si>
  <si>
    <t>192.168.42.137</t>
  </si>
  <si>
    <t>192.168.134.73</t>
  </si>
  <si>
    <t>192.168.26.140</t>
  </si>
  <si>
    <t>192.168.130.233</t>
  </si>
  <si>
    <t>192.168.125.233</t>
  </si>
  <si>
    <t>192.168.125.169</t>
  </si>
  <si>
    <t>192.168.38.44</t>
  </si>
  <si>
    <t>192.168.38.140</t>
  </si>
  <si>
    <t>192.168.27.233</t>
  </si>
  <si>
    <t>192.168.37.204</t>
  </si>
  <si>
    <t>192.168.18.105</t>
  </si>
  <si>
    <t>192.168.32.140</t>
  </si>
  <si>
    <t>192.168.32.172</t>
  </si>
  <si>
    <t>192.168.20.44</t>
  </si>
  <si>
    <t>192.168.20.11</t>
  </si>
  <si>
    <t>192.168.131.73</t>
  </si>
  <si>
    <t>192.168.25.172</t>
  </si>
  <si>
    <t>192.168.132.41</t>
  </si>
  <si>
    <t>192.168.19.137</t>
  </si>
  <si>
    <t>192.168.22.11</t>
  </si>
  <si>
    <t>192.168.114.73</t>
  </si>
  <si>
    <t>192.168.125.201</t>
  </si>
  <si>
    <t>192.168.32.76</t>
  </si>
  <si>
    <t>192.168.25.11</t>
  </si>
  <si>
    <t>192.168.27.73</t>
  </si>
  <si>
    <t>192.168.38.76</t>
  </si>
  <si>
    <t>192.168.53.41</t>
  </si>
  <si>
    <t>192.168.130.201</t>
  </si>
  <si>
    <t>192.168.32.108</t>
  </si>
  <si>
    <t>192.168.30.44</t>
  </si>
  <si>
    <t>192.168.25.75</t>
  </si>
  <si>
    <t>192.168.114.41</t>
  </si>
  <si>
    <t>192.168.114.9</t>
  </si>
  <si>
    <t>192.168.113.233</t>
  </si>
  <si>
    <t>192.168.113.201</t>
  </si>
  <si>
    <t>192.168.113.169</t>
  </si>
  <si>
    <t>192.168.113.137</t>
  </si>
  <si>
    <t>192.168.113.105</t>
  </si>
  <si>
    <t>192.168.113.73</t>
  </si>
  <si>
    <t>192.168.15.201</t>
  </si>
  <si>
    <t>192.168.42.73</t>
  </si>
  <si>
    <t>192.168.21.108</t>
  </si>
  <si>
    <t>192.168.136.9</t>
  </si>
  <si>
    <t>192.168.30.108</t>
  </si>
  <si>
    <t>192.168.30.140</t>
  </si>
  <si>
    <t>192.168.17.137</t>
  </si>
  <si>
    <t>192.168.30.11</t>
  </si>
  <si>
    <t>CR 101 (Brockton Ln) at Dayton Parkway</t>
  </si>
  <si>
    <t>1st</t>
  </si>
  <si>
    <t>2nd</t>
  </si>
  <si>
    <t>Accurate 5%</t>
  </si>
  <si>
    <t>Acceptable (10%)</t>
  </si>
  <si>
    <t>Not-Acceptable (&gt;10%)</t>
  </si>
  <si>
    <t>1st Calibration</t>
  </si>
  <si>
    <t>% Improvement</t>
  </si>
  <si>
    <t>2nd Calibration</t>
  </si>
  <si>
    <t>Approach</t>
  </si>
  <si>
    <t>Movement</t>
  </si>
  <si>
    <t>Overall Accuracy</t>
  </si>
  <si>
    <t>Not Acceptable to Accurate</t>
  </si>
  <si>
    <t>Not Acceptable to Acceptable</t>
  </si>
  <si>
    <t>Acceptable to Accurate</t>
  </si>
  <si>
    <t>Acceptable to Not Acceptable</t>
  </si>
  <si>
    <t>Accurate to Not Acceptable</t>
  </si>
  <si>
    <t>Accurate to Acceptable</t>
  </si>
  <si>
    <t>Total Changes</t>
  </si>
  <si>
    <t>Baseline</t>
  </si>
  <si>
    <t>Calibration #</t>
  </si>
  <si>
    <t>none</t>
  </si>
  <si>
    <t>CSAH 8 (7none Ave) at CSAH 130 (Broadway Ave)</t>
  </si>
  <si>
    <t>CSAH 61 (Northwest Blvd) at 41st Pl N</t>
  </si>
  <si>
    <t>In-progress overall</t>
  </si>
  <si>
    <t>CSAH 6 at Willow Dr</t>
  </si>
  <si>
    <t>192.168.138.9</t>
  </si>
  <si>
    <t>Collected by:</t>
  </si>
  <si>
    <t>Sauharda Shrestha</t>
  </si>
  <si>
    <t>7: 45 to 8:00</t>
  </si>
  <si>
    <t>4:15 to 4:30</t>
  </si>
  <si>
    <t>12:15 to 12:30 PM</t>
  </si>
  <si>
    <t>03/17/202511:45 to 12</t>
  </si>
  <si>
    <t>collected by</t>
  </si>
  <si>
    <t>03/19/2025off-peak</t>
  </si>
  <si>
    <t>Collected by</t>
  </si>
  <si>
    <t>IP ADDRESS</t>
  </si>
  <si>
    <t>EB</t>
  </si>
  <si>
    <t>WB</t>
  </si>
  <si>
    <t>SB</t>
  </si>
  <si>
    <t>NB</t>
  </si>
  <si>
    <t xml:space="preserve">CSAH 136 and 33rd </t>
  </si>
  <si>
    <t>rtsp://192.168.137.169/quad</t>
  </si>
  <si>
    <t>need to tilt camera down</t>
  </si>
  <si>
    <t>Collected By:</t>
  </si>
  <si>
    <t>Collected By</t>
  </si>
  <si>
    <t>CSAH 88 @ St Anthony Blvd</t>
  </si>
  <si>
    <t>need more space in the front</t>
  </si>
  <si>
    <t>Collected BY</t>
  </si>
  <si>
    <t>CSAH 88 @ CSAH 94</t>
  </si>
  <si>
    <t>Not enough space in the front</t>
  </si>
  <si>
    <t>CSAH 136 @ St Anthony</t>
  </si>
  <si>
    <t>Need to titlt the camera downwards</t>
  </si>
  <si>
    <t xml:space="preserve">CSAH 15 @ CSAH 110 </t>
  </si>
  <si>
    <t xml:space="preserve">Need space below </t>
  </si>
  <si>
    <t>Need Space below</t>
  </si>
  <si>
    <t xml:space="preserve">CSAH 109 @ Edinburg </t>
  </si>
  <si>
    <t>NEED ENOUGH SPACE TO FIT CARS PAST THE STOP ZONE</t>
  </si>
  <si>
    <t>collected by:</t>
  </si>
  <si>
    <t>Shrestha</t>
  </si>
  <si>
    <t xml:space="preserve">Sauharda Shrestha </t>
  </si>
  <si>
    <t>Sauharda</t>
  </si>
  <si>
    <t xml:space="preserve">Shrestha </t>
  </si>
  <si>
    <t>NOT AVAILABLE</t>
  </si>
  <si>
    <t xml:space="preserve">1st Calibration </t>
  </si>
  <si>
    <t xml:space="preserve">Collected By: Sauharda Meher Shrestha </t>
  </si>
  <si>
    <t xml:space="preserve">Sauharda Meher Shrestha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</si>
</sst>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525252"/>
      <name val="Segoe MDL2 Assets"/>
      <family val="1"/>
    </font>
    <font>
      <b/>
      <sz val="12"/>
      <color rgb="FF525252"/>
      <name val="Calibri"/>
      <family val="2"/>
      <scheme val="minor"/>
    </font>
    <font>
      <sz val="11"/>
      <color rgb="FFF0F0F0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25252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ck">
        <color rgb="FFF0F0F0"/>
      </left>
      <right style="thick">
        <color rgb="FFF0F0F0"/>
      </right>
      <top/>
      <bottom style="thick">
        <color rgb="FFF0F0F0"/>
      </bottom>
      <diagonal/>
    </border>
    <border>
      <left/>
      <right style="thick">
        <color rgb="FFF0F0F0"/>
      </right>
      <top/>
      <bottom style="thick">
        <color rgb="FFF0F0F0"/>
      </bottom>
      <diagonal/>
    </border>
    <border>
      <left/>
      <right style="thick">
        <color rgb="FFF0F0F0"/>
      </right>
      <top style="thick">
        <color rgb="FFF0F0F0"/>
      </top>
      <bottom style="thick">
        <color rgb="FFF0F0F0"/>
      </bottom>
      <diagonal/>
    </border>
    <border>
      <left style="thick">
        <color rgb="FFF0F0F0"/>
      </left>
      <right style="thick">
        <color rgb="FFF0F0F0"/>
      </right>
      <top style="thick">
        <color rgb="FFF0F0F0"/>
      </top>
      <bottom style="thick">
        <color rgb="FFF0F0F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6" fillId="0" borderId="0" applyNumberFormat="0" applyFill="0" applyBorder="0" applyAlignment="0" applyProtection="0"/>
    <xf numFmtId="0" fontId="7" fillId="0" borderId="5" applyNumberFormat="0" applyFill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8" applyNumberFormat="0" applyAlignment="0" applyProtection="0"/>
    <xf numFmtId="0" fontId="14" fillId="9" borderId="9" applyNumberFormat="0" applyAlignment="0" applyProtection="0"/>
    <xf numFmtId="0" fontId="15" fillId="9" borderId="8" applyNumberFormat="0" applyAlignment="0" applyProtection="0"/>
    <xf numFmtId="0" fontId="16" fillId="0" borderId="10" applyNumberFormat="0" applyFill="0" applyAlignment="0" applyProtection="0"/>
    <xf numFmtId="0" fontId="17" fillId="10" borderId="11" applyNumberFormat="0" applyAlignment="0" applyProtection="0"/>
    <xf numFmtId="0" fontId="18" fillId="0" borderId="0" applyNumberFormat="0" applyFill="0" applyBorder="0" applyAlignment="0" applyProtection="0"/>
    <xf numFmtId="0" fontId="1" fillId="11" borderId="12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13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22" fillId="0" borderId="0"/>
  </cellStyleXfs>
  <cellXfs count="64">
    <xf numFmtId="0" fontId="0" fillId="0" borderId="0" xfId="0"/>
    <xf numFmtId="0" fontId="5" fillId="0" borderId="0" xfId="0" applyFont="1"/>
    <xf numFmtId="14" fontId="0" fillId="0" borderId="0" xfId="0" applyNumberFormat="1"/>
    <xf numFmtId="14" fontId="0" fillId="4" borderId="0" xfId="0" applyNumberFormat="1" applyFill="1" applyAlignment="1">
      <alignment horizontal="center" vertical="center"/>
    </xf>
    <xf numFmtId="49" fontId="0" fillId="4" borderId="0" xfId="0" applyNumberFormat="1" applyFill="1" applyAlignment="1">
      <alignment horizontal="center" vertical="center"/>
    </xf>
    <xf numFmtId="49" fontId="0" fillId="0" borderId="0" xfId="0" applyNumberFormat="1"/>
    <xf numFmtId="49" fontId="4" fillId="3" borderId="4" xfId="0" applyNumberFormat="1" applyFont="1" applyFill="1" applyBorder="1" applyAlignment="1">
      <alignment horizontal="left" vertical="top"/>
    </xf>
    <xf numFmtId="1" fontId="2" fillId="2" borderId="2" xfId="0" applyNumberFormat="1" applyFont="1" applyFill="1" applyBorder="1" applyAlignment="1">
      <alignment horizontal="left" vertical="top" wrapText="1"/>
    </xf>
    <xf numFmtId="49" fontId="3" fillId="2" borderId="1" xfId="0" applyNumberFormat="1" applyFont="1" applyFill="1" applyBorder="1" applyAlignment="1">
      <alignment horizontal="left" vertical="top"/>
    </xf>
    <xf numFmtId="1" fontId="0" fillId="0" borderId="0" xfId="0" applyNumberFormat="1"/>
    <xf numFmtId="164" fontId="0" fillId="4" borderId="0" xfId="0" applyNumberFormat="1" applyFill="1" applyAlignment="1">
      <alignment horizontal="center" vertical="center"/>
    </xf>
    <xf numFmtId="164" fontId="0" fillId="0" borderId="0" xfId="0" applyNumberFormat="1" applyAlignment="1">
      <alignment horizontal="right"/>
    </xf>
    <xf numFmtId="164" fontId="0" fillId="0" borderId="0" xfId="0" applyNumberFormat="1"/>
    <xf numFmtId="1" fontId="4" fillId="3" borderId="3" xfId="0" applyNumberFormat="1" applyFont="1" applyFill="1" applyBorder="1" applyAlignment="1">
      <alignment horizontal="left" vertical="top"/>
    </xf>
    <xf numFmtId="14" fontId="20" fillId="4" borderId="0" xfId="0" applyNumberFormat="1" applyFont="1" applyFill="1" applyAlignment="1">
      <alignment horizontal="center" vertical="center"/>
    </xf>
    <xf numFmtId="164" fontId="20" fillId="4" borderId="0" xfId="0" applyNumberFormat="1" applyFont="1" applyFill="1" applyAlignment="1">
      <alignment horizontal="center" vertical="center"/>
    </xf>
    <xf numFmtId="1" fontId="20" fillId="2" borderId="2" xfId="0" applyNumberFormat="1" applyFont="1" applyFill="1" applyBorder="1" applyAlignment="1">
      <alignment horizontal="left" vertical="top" wrapText="1"/>
    </xf>
    <xf numFmtId="49" fontId="20" fillId="2" borderId="1" xfId="0" applyNumberFormat="1" applyFont="1" applyFill="1" applyBorder="1" applyAlignment="1">
      <alignment horizontal="left" vertical="top"/>
    </xf>
    <xf numFmtId="0" fontId="0" fillId="0" borderId="14" xfId="0" applyBorder="1"/>
    <xf numFmtId="1" fontId="0" fillId="0" borderId="0" xfId="0" applyNumberFormat="1" applyAlignment="1">
      <alignment horizontal="center"/>
    </xf>
    <xf numFmtId="1" fontId="0" fillId="0" borderId="14" xfId="0" applyNumberFormat="1" applyBorder="1" applyAlignment="1">
      <alignment horizontal="right"/>
    </xf>
    <xf numFmtId="1" fontId="0" fillId="0" borderId="0" xfId="0" applyNumberFormat="1" applyAlignment="1">
      <alignment horizontal="right"/>
    </xf>
    <xf numFmtId="10" fontId="0" fillId="0" borderId="14" xfId="0" applyNumberFormat="1" applyBorder="1" applyAlignment="1">
      <alignment horizontal="righ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14" fontId="20" fillId="4" borderId="0" xfId="0" applyNumberFormat="1" applyFont="1" applyFill="1" applyAlignment="1">
      <alignment horizontal="center"/>
    </xf>
    <xf numFmtId="49" fontId="20" fillId="4" borderId="0" xfId="0" applyNumberFormat="1" applyFont="1" applyFill="1" applyAlignment="1">
      <alignment horizontal="center"/>
    </xf>
    <xf numFmtId="0" fontId="0" fillId="0" borderId="14" xfId="0" applyBorder="1" applyAlignment="1">
      <alignment horizontal="left"/>
    </xf>
    <xf numFmtId="1" fontId="0" fillId="0" borderId="14" xfId="0" applyNumberFormat="1" applyBorder="1" applyAlignment="1">
      <alignment horizontal="left"/>
    </xf>
    <xf numFmtId="14" fontId="0" fillId="4" borderId="0" xfId="0" applyNumberFormat="1" applyFill="1" applyAlignment="1">
      <alignment horizontal="left" vertical="center"/>
    </xf>
    <xf numFmtId="0" fontId="0" fillId="36" borderId="0" xfId="0" applyFill="1"/>
    <xf numFmtId="18" fontId="0" fillId="0" borderId="0" xfId="0" applyNumberFormat="1" applyAlignment="1">
      <alignment horizontal="left"/>
    </xf>
    <xf numFmtId="0" fontId="0" fillId="38" borderId="0" xfId="0" applyFill="1"/>
    <xf numFmtId="14" fontId="0" fillId="38" borderId="0" xfId="0" applyNumberFormat="1" applyFill="1"/>
    <xf numFmtId="10" fontId="0" fillId="0" borderId="0" xfId="0" applyNumberFormat="1"/>
    <xf numFmtId="164" fontId="0" fillId="0" borderId="14" xfId="0" applyNumberFormat="1" applyBorder="1" applyAlignment="1">
      <alignment horizontal="right"/>
    </xf>
    <xf numFmtId="10" fontId="22" fillId="38" borderId="0" xfId="0" applyNumberFormat="1" applyFont="1" applyFill="1"/>
    <xf numFmtId="10" fontId="22" fillId="39" borderId="0" xfId="0" applyNumberFormat="1" applyFont="1" applyFill="1"/>
    <xf numFmtId="10" fontId="22" fillId="37" borderId="0" xfId="0" applyNumberFormat="1" applyFont="1" applyFill="1"/>
    <xf numFmtId="0" fontId="22" fillId="0" borderId="0" xfId="0" applyFont="1"/>
    <xf numFmtId="14" fontId="0" fillId="38" borderId="0" xfId="0" applyNumberFormat="1" applyFill="1" applyAlignment="1">
      <alignment horizontal="left"/>
    </xf>
    <xf numFmtId="164" fontId="0" fillId="0" borderId="14" xfId="0" applyNumberFormat="1" applyBorder="1"/>
    <xf numFmtId="19" fontId="0" fillId="0" borderId="0" xfId="0" applyNumberFormat="1" applyAlignment="1">
      <alignment horizontal="left"/>
    </xf>
    <xf numFmtId="0" fontId="0" fillId="40" borderId="0" xfId="0" applyFill="1"/>
    <xf numFmtId="0" fontId="0" fillId="37" borderId="0" xfId="0" applyFill="1" applyAlignment="1">
      <alignment horizontal="left"/>
    </xf>
    <xf numFmtId="0" fontId="0" fillId="37" borderId="0" xfId="0" applyFill="1"/>
    <xf numFmtId="14" fontId="0" fillId="37" borderId="0" xfId="0" applyNumberFormat="1" applyFill="1" applyAlignment="1">
      <alignment horizontal="left"/>
    </xf>
    <xf numFmtId="18" fontId="0" fillId="37" borderId="0" xfId="0" applyNumberFormat="1" applyFill="1" applyAlignment="1">
      <alignment horizontal="left"/>
    </xf>
    <xf numFmtId="0" fontId="0" fillId="39" borderId="0" xfId="0" applyFill="1"/>
    <xf numFmtId="14" fontId="0" fillId="39" borderId="0" xfId="0" applyNumberFormat="1" applyFill="1"/>
    <xf numFmtId="164" fontId="0" fillId="39" borderId="14" xfId="0" applyNumberFormat="1" applyFill="1" applyBorder="1" applyAlignment="1">
      <alignment horizontal="right"/>
    </xf>
    <xf numFmtId="164" fontId="0" fillId="37" borderId="14" xfId="0" applyNumberFormat="1" applyFill="1" applyBorder="1" applyAlignment="1">
      <alignment horizontal="right"/>
    </xf>
    <xf numFmtId="164" fontId="0" fillId="38" borderId="14" xfId="0" applyNumberFormat="1" applyFill="1" applyBorder="1" applyAlignment="1">
      <alignment horizontal="right"/>
    </xf>
    <xf numFmtId="10" fontId="0" fillId="37" borderId="14" xfId="0" applyNumberFormat="1" applyFill="1" applyBorder="1"/>
    <xf numFmtId="10" fontId="0" fillId="39" borderId="14" xfId="0" applyNumberFormat="1" applyFill="1" applyBorder="1"/>
    <xf numFmtId="10" fontId="0" fillId="38" borderId="14" xfId="0" applyNumberFormat="1" applyFill="1" applyBorder="1"/>
    <xf numFmtId="10" fontId="0" fillId="0" borderId="14" xfId="0" applyNumberFormat="1" applyBorder="1"/>
    <xf numFmtId="10" fontId="0" fillId="0" borderId="15" xfId="0" applyNumberFormat="1" applyBorder="1"/>
    <xf numFmtId="0" fontId="0" fillId="39" borderId="0" xfId="0" applyFill="1" applyAlignment="1">
      <alignment horizontal="left"/>
    </xf>
    <xf numFmtId="0" fontId="0" fillId="0" borderId="0" xfId="0"/>
    <xf numFmtId="0" fontId="0" fillId="37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38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3D18407D-27DD-4664-9426-9B0E96F61BF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5">
    <dxf>
      <font>
        <b/>
        <i/>
        <color rgb="FFECE2F0"/>
      </font>
      <fill>
        <patternFill>
          <bgColor rgb="FF542788"/>
        </patternFill>
      </fill>
    </dxf>
    <dxf>
      <font>
        <b/>
        <i/>
        <color rgb="FFECE2F0"/>
      </font>
      <fill>
        <patternFill>
          <bgColor rgb="FF542788"/>
        </patternFill>
      </fill>
    </dxf>
    <dxf>
      <font>
        <b/>
        <i/>
        <color rgb="FFFD8D3C"/>
      </font>
      <fill>
        <patternFill>
          <bgColor rgb="FF67000D"/>
        </patternFill>
      </fill>
    </dxf>
    <dxf>
      <font>
        <b/>
        <i/>
        <color rgb="FFFD8D3C"/>
      </font>
      <fill>
        <patternFill>
          <bgColor rgb="FF67000D"/>
        </patternFill>
      </fill>
    </dxf>
    <dxf>
      <font>
        <b/>
        <i/>
        <color rgb="FF8C510A"/>
      </font>
      <fill>
        <patternFill>
          <bgColor rgb="FFC7EAE5"/>
        </patternFill>
      </fill>
    </dxf>
    <dxf>
      <font>
        <b/>
        <i/>
        <color rgb="FF8C510A"/>
      </font>
      <fill>
        <patternFill>
          <bgColor rgb="FFC7EAE5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rgb="FFECE2F0"/>
      </font>
      <fill>
        <patternFill>
          <bgColor rgb="FF542788"/>
        </patternFill>
      </fill>
    </dxf>
    <dxf>
      <font>
        <b/>
        <i/>
        <color rgb="FFECE2F0"/>
      </font>
      <fill>
        <patternFill>
          <bgColor rgb="FF542788"/>
        </patternFill>
      </fill>
    </dxf>
    <dxf>
      <font>
        <b/>
        <i/>
        <color rgb="FFFD8D3C"/>
      </font>
      <fill>
        <patternFill>
          <bgColor rgb="FF67000D"/>
        </patternFill>
      </fill>
    </dxf>
    <dxf>
      <font>
        <b/>
        <i/>
        <color rgb="FFFD8D3C"/>
      </font>
      <fill>
        <patternFill>
          <bgColor rgb="FF67000D"/>
        </patternFill>
      </fill>
    </dxf>
    <dxf>
      <font>
        <b/>
        <i/>
        <color rgb="FF8C510A"/>
      </font>
      <fill>
        <patternFill>
          <bgColor rgb="FFC7EAE5"/>
        </patternFill>
      </fill>
    </dxf>
    <dxf>
      <font>
        <b/>
        <i/>
        <color rgb="FF8C510A"/>
      </font>
      <fill>
        <patternFill>
          <bgColor rgb="FFC7EAE5"/>
        </patternFill>
      </fill>
    </dxf>
    <dxf>
      <font>
        <b/>
        <i/>
        <color rgb="FFECE2F0"/>
      </font>
      <fill>
        <patternFill>
          <bgColor rgb="FF542788"/>
        </patternFill>
      </fill>
    </dxf>
    <dxf>
      <font>
        <b/>
        <i/>
        <color rgb="FFECE2F0"/>
      </font>
      <fill>
        <patternFill>
          <bgColor rgb="FF542788"/>
        </patternFill>
      </fill>
    </dxf>
    <dxf>
      <font>
        <b/>
        <i/>
        <color rgb="FFFD8D3C"/>
      </font>
      <fill>
        <patternFill>
          <bgColor rgb="FF67000D"/>
        </patternFill>
      </fill>
    </dxf>
    <dxf>
      <font>
        <b/>
        <i/>
        <color rgb="FFFD8D3C"/>
      </font>
      <fill>
        <patternFill>
          <bgColor rgb="FF67000D"/>
        </patternFill>
      </fill>
    </dxf>
    <dxf>
      <font>
        <b/>
        <i/>
        <color rgb="FF8C510A"/>
      </font>
      <fill>
        <patternFill>
          <bgColor rgb="FFC7EAE5"/>
        </patternFill>
      </fill>
    </dxf>
    <dxf>
      <font>
        <b/>
        <i/>
        <color rgb="FF8C510A"/>
      </font>
      <fill>
        <patternFill>
          <bgColor rgb="FFC7EAE5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rgb="FFECE2F0"/>
      </font>
      <fill>
        <patternFill>
          <bgColor rgb="FF542788"/>
        </patternFill>
      </fill>
    </dxf>
    <dxf>
      <font>
        <b/>
        <i/>
        <color rgb="FFECE2F0"/>
      </font>
      <fill>
        <patternFill>
          <bgColor rgb="FF542788"/>
        </patternFill>
      </fill>
    </dxf>
    <dxf>
      <font>
        <b/>
        <i/>
        <color rgb="FFFD8D3C"/>
      </font>
      <fill>
        <patternFill>
          <bgColor rgb="FF67000D"/>
        </patternFill>
      </fill>
    </dxf>
    <dxf>
      <font>
        <b/>
        <i/>
        <color rgb="FFFD8D3C"/>
      </font>
      <fill>
        <patternFill>
          <bgColor rgb="FF67000D"/>
        </patternFill>
      </fill>
    </dxf>
    <dxf>
      <font>
        <b/>
        <i/>
        <color rgb="FF8C510A"/>
      </font>
      <fill>
        <patternFill>
          <bgColor rgb="FFC7EAE5"/>
        </patternFill>
      </fill>
    </dxf>
    <dxf>
      <font>
        <b/>
        <i/>
        <color rgb="FF8C510A"/>
      </font>
      <fill>
        <patternFill>
          <bgColor rgb="FFC7EAE5"/>
        </patternFill>
      </fill>
    </dxf>
    <dxf>
      <font>
        <b/>
        <i/>
        <color rgb="FFECE2F0"/>
      </font>
      <fill>
        <patternFill>
          <bgColor rgb="FF542788"/>
        </patternFill>
      </fill>
    </dxf>
    <dxf>
      <font>
        <b/>
        <i/>
        <color rgb="FFECE2F0"/>
      </font>
      <fill>
        <patternFill>
          <bgColor rgb="FF542788"/>
        </patternFill>
      </fill>
    </dxf>
    <dxf>
      <font>
        <b/>
        <i/>
        <color rgb="FFFD8D3C"/>
      </font>
      <fill>
        <patternFill>
          <bgColor rgb="FF67000D"/>
        </patternFill>
      </fill>
    </dxf>
    <dxf>
      <font>
        <b/>
        <i/>
        <color rgb="FFFD8D3C"/>
      </font>
      <fill>
        <patternFill>
          <bgColor rgb="FF67000D"/>
        </patternFill>
      </fill>
    </dxf>
    <dxf>
      <font>
        <b/>
        <i/>
        <color rgb="FF8C510A"/>
      </font>
      <fill>
        <patternFill>
          <bgColor rgb="FFC7EAE5"/>
        </patternFill>
      </fill>
    </dxf>
    <dxf>
      <font>
        <b/>
        <i/>
        <color rgb="FF8C510A"/>
      </font>
      <fill>
        <patternFill>
          <bgColor rgb="FFC7EAE5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rgb="FFECE2F0"/>
      </font>
      <fill>
        <patternFill>
          <bgColor rgb="FF542788"/>
        </patternFill>
      </fill>
    </dxf>
    <dxf>
      <font>
        <b/>
        <i/>
        <color rgb="FFECE2F0"/>
      </font>
      <fill>
        <patternFill>
          <bgColor rgb="FF542788"/>
        </patternFill>
      </fill>
    </dxf>
    <dxf>
      <font>
        <b/>
        <i/>
        <color rgb="FFFD8D3C"/>
      </font>
      <fill>
        <patternFill>
          <bgColor rgb="FF67000D"/>
        </patternFill>
      </fill>
    </dxf>
    <dxf>
      <font>
        <b/>
        <i/>
        <color rgb="FFFD8D3C"/>
      </font>
      <fill>
        <patternFill>
          <bgColor rgb="FF67000D"/>
        </patternFill>
      </fill>
    </dxf>
    <dxf>
      <font>
        <b/>
        <i/>
        <color rgb="FF8C510A"/>
      </font>
      <fill>
        <patternFill>
          <bgColor rgb="FFC7EAE5"/>
        </patternFill>
      </fill>
    </dxf>
    <dxf>
      <font>
        <b/>
        <i/>
        <color rgb="FF8C510A"/>
      </font>
      <fill>
        <patternFill>
          <bgColor rgb="FFC7EAE5"/>
        </patternFill>
      </fill>
    </dxf>
    <dxf>
      <font>
        <b/>
        <i/>
        <color rgb="FF8C510A"/>
      </font>
      <fill>
        <patternFill>
          <bgColor rgb="FFC7EAE5"/>
        </patternFill>
      </fill>
    </dxf>
    <dxf>
      <font>
        <b/>
        <i/>
        <color rgb="FF8C510A"/>
      </font>
      <fill>
        <patternFill>
          <bgColor rgb="FFC7EAE5"/>
        </patternFill>
      </fill>
    </dxf>
    <dxf>
      <font>
        <b/>
        <i/>
        <color rgb="FFFD8D3C"/>
      </font>
      <fill>
        <patternFill>
          <bgColor rgb="FF67000D"/>
        </patternFill>
      </fill>
    </dxf>
    <dxf>
      <font>
        <b/>
        <i/>
        <color rgb="FFFD8D3C"/>
      </font>
      <fill>
        <patternFill>
          <bgColor rgb="FF67000D"/>
        </patternFill>
      </fill>
    </dxf>
    <dxf>
      <font>
        <b/>
        <i/>
        <color rgb="FFECE2F0"/>
      </font>
      <fill>
        <patternFill>
          <bgColor rgb="FF542788"/>
        </patternFill>
      </fill>
    </dxf>
    <dxf>
      <font>
        <b/>
        <i/>
        <color rgb="FFECE2F0"/>
      </font>
      <fill>
        <patternFill>
          <bgColor rgb="FF54278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b/>
        <i/>
        <color rgb="FFECE2F0"/>
      </font>
      <fill>
        <patternFill>
          <bgColor rgb="FF542788"/>
        </patternFill>
      </fill>
    </dxf>
    <dxf>
      <font>
        <b/>
        <i/>
        <color rgb="FFECE2F0"/>
      </font>
      <fill>
        <patternFill>
          <bgColor rgb="FF542788"/>
        </patternFill>
      </fill>
    </dxf>
    <dxf>
      <font>
        <b/>
        <i/>
        <color rgb="FFFD8D3C"/>
      </font>
      <fill>
        <patternFill>
          <bgColor rgb="FF67000D"/>
        </patternFill>
      </fill>
    </dxf>
    <dxf>
      <font>
        <b/>
        <i/>
        <color rgb="FFFD8D3C"/>
      </font>
      <fill>
        <patternFill>
          <bgColor rgb="FF67000D"/>
        </patternFill>
      </fill>
    </dxf>
    <dxf>
      <font>
        <b/>
        <i/>
        <color rgb="FF8C510A"/>
      </font>
      <fill>
        <patternFill>
          <bgColor rgb="FFC7EAE5"/>
        </patternFill>
      </fill>
    </dxf>
    <dxf>
      <font>
        <b/>
        <i/>
        <color rgb="FF8C510A"/>
      </font>
      <fill>
        <patternFill>
          <bgColor rgb="FFC7EAE5"/>
        </patternFill>
      </fill>
    </dxf>
    <dxf>
      <font>
        <b/>
        <i/>
        <color rgb="FF8C510A"/>
      </font>
      <fill>
        <patternFill>
          <bgColor rgb="FFC7EAE5"/>
        </patternFill>
      </fill>
    </dxf>
    <dxf>
      <font>
        <b/>
        <i/>
        <color rgb="FF8C510A"/>
      </font>
      <fill>
        <patternFill>
          <bgColor rgb="FFC7EAE5"/>
        </patternFill>
      </fill>
    </dxf>
    <dxf>
      <font>
        <b/>
        <i/>
        <color rgb="FF8C510A"/>
      </font>
      <fill>
        <patternFill>
          <bgColor rgb="FFC7EAE5"/>
        </patternFill>
      </fill>
    </dxf>
    <dxf>
      <font>
        <b/>
        <i/>
        <color rgb="FF8C510A"/>
      </font>
      <fill>
        <patternFill>
          <bgColor rgb="FFC7EAE5"/>
        </patternFill>
      </fill>
    </dxf>
    <dxf>
      <font>
        <b/>
        <i/>
        <color rgb="FFFD8D3C"/>
      </font>
      <fill>
        <patternFill>
          <bgColor rgb="FF67000D"/>
        </patternFill>
      </fill>
    </dxf>
    <dxf>
      <font>
        <b/>
        <i/>
        <color rgb="FFFD8D3C"/>
      </font>
      <fill>
        <patternFill>
          <bgColor rgb="FF67000D"/>
        </patternFill>
      </fill>
    </dxf>
    <dxf>
      <font>
        <b/>
        <i/>
        <color rgb="FFECE2F0"/>
      </font>
      <fill>
        <patternFill>
          <bgColor rgb="FF542788"/>
        </patternFill>
      </fill>
    </dxf>
    <dxf>
      <font>
        <b/>
        <i/>
        <color rgb="FFECE2F0"/>
      </font>
      <fill>
        <patternFill>
          <bgColor rgb="FF542788"/>
        </patternFill>
      </fill>
    </dxf>
    <dxf>
      <font>
        <b/>
        <i/>
        <color rgb="FFFD8D3C"/>
      </font>
      <fill>
        <patternFill>
          <bgColor rgb="FF67000D"/>
        </patternFill>
      </fill>
    </dxf>
    <dxf>
      <font>
        <b/>
        <i/>
        <color rgb="FFFD8D3C"/>
      </font>
      <fill>
        <patternFill>
          <bgColor rgb="FF67000D"/>
        </patternFill>
      </fill>
    </dxf>
    <dxf>
      <font>
        <b/>
        <i/>
        <color rgb="FFECE2F0"/>
      </font>
      <fill>
        <patternFill>
          <bgColor rgb="FF542788"/>
        </patternFill>
      </fill>
    </dxf>
    <dxf>
      <font>
        <b/>
        <i/>
        <color rgb="FFECE2F0"/>
      </font>
      <fill>
        <patternFill>
          <bgColor rgb="FF542788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8A8E5-7CC8-42E2-8A39-5DA9BA504FBF}">
  <sheetPr codeName="Sheet1"/>
  <dimension ref="B2:N26"/>
  <sheetViews>
    <sheetView workbookViewId="0">
      <selection activeCell="B1" sqref="B1"/>
    </sheetView>
  </sheetViews>
  <sheetFormatPr defaultRowHeight="14.4" x14ac:dyDescent="0.3"/>
  <cols>
    <col min="2" max="2" width="20.33203125" bestFit="1" customWidth="1"/>
    <col min="3" max="3" width="11.33203125" style="9" bestFit="1" customWidth="1"/>
    <col min="4" max="4" width="15.33203125" style="9" bestFit="1" customWidth="1"/>
    <col min="5" max="5" width="20" style="9" bestFit="1" customWidth="1"/>
    <col min="6" max="7" width="11.5546875" style="9" customWidth="1"/>
    <col min="9" max="9" width="17.33203125" style="24" bestFit="1" customWidth="1"/>
    <col min="10" max="10" width="12.6640625" style="19" bestFit="1" customWidth="1"/>
    <col min="11" max="11" width="15.33203125" style="19" bestFit="1" customWidth="1"/>
    <col min="12" max="12" width="20" bestFit="1" customWidth="1"/>
  </cols>
  <sheetData>
    <row r="2" spans="2:14" x14ac:dyDescent="0.3">
      <c r="B2" t="s">
        <v>507</v>
      </c>
      <c r="I2" s="24" t="s">
        <v>520</v>
      </c>
    </row>
    <row r="3" spans="2:14" x14ac:dyDescent="0.3">
      <c r="B3" s="18"/>
      <c r="C3" s="20" t="s">
        <v>499</v>
      </c>
      <c r="D3" s="20" t="s">
        <v>500</v>
      </c>
      <c r="E3" s="20" t="s">
        <v>501</v>
      </c>
      <c r="F3" s="20" t="s">
        <v>172</v>
      </c>
      <c r="G3" s="21"/>
      <c r="I3" s="28"/>
      <c r="J3" s="20" t="s">
        <v>499</v>
      </c>
      <c r="K3" s="20" t="s">
        <v>500</v>
      </c>
      <c r="L3" s="20" t="s">
        <v>501</v>
      </c>
      <c r="M3" s="18"/>
    </row>
    <row r="4" spans="2:14" x14ac:dyDescent="0.3">
      <c r="B4" s="18" t="s">
        <v>515</v>
      </c>
      <c r="C4" s="20">
        <f>COUNTIF(Baseline!$F:$F, "&gt;0") + COUNTIF(Baseline!$F:$F, "&lt;0") + COUNTIF(Baseline!$F:$F, "=0")-D4-E4</f>
        <v>64</v>
      </c>
      <c r="D4" s="20">
        <f>COUNTIF(Baseline!$F:$F, "&gt;0.05") + COUNTIF(Baseline!$F:$F, "&lt;-0.05") - E4</f>
        <v>43</v>
      </c>
      <c r="E4" s="20">
        <f>COUNTIF(Baseline!$F:$F, "&gt;0.10") + COUNTIF(Baseline!$F:$F, "&lt;-0.10")</f>
        <v>111</v>
      </c>
      <c r="F4" s="20">
        <f>SUM(C4:E4)</f>
        <v>218</v>
      </c>
      <c r="G4" s="21"/>
      <c r="I4" s="28" t="s">
        <v>515</v>
      </c>
      <c r="J4" s="20">
        <f>(COUNTIF('1st Calibration Comparisons'!$C:$C, "none"))-K4-L4</f>
        <v>9</v>
      </c>
      <c r="K4" s="20">
        <f>COUNTIFS('1st Calibration Comparisons'!$C:$C, "none", '1st Calibration Comparisons'!$F:$F, "&gt;0.05") + COUNTIFS('1st Calibration Comparisons'!$C:$C, "none", '1st Calibration Comparisons'!$F:$F, "&lt;-0.05") -L4</f>
        <v>2</v>
      </c>
      <c r="L4" s="20">
        <f>COUNTIFS('1st Calibration Comparisons'!$C:$C, "none", '1st Calibration Comparisons'!$F:$F, "&gt;0.10") + COUNTIFS('1st Calibration Comparisons'!$C:$C, "none", '1st Calibration Comparisons'!$F:$F, "&lt;-0.10")</f>
        <v>15</v>
      </c>
      <c r="M4" s="20">
        <f>SUM(J4:L4)</f>
        <v>26</v>
      </c>
    </row>
    <row r="5" spans="2:14" x14ac:dyDescent="0.3">
      <c r="B5" s="18" t="s">
        <v>502</v>
      </c>
      <c r="C5" s="20">
        <f>(COUNTIF('1st Calibration'!$C:$C, "1st")) -D5-E5</f>
        <v>11</v>
      </c>
      <c r="D5" s="20">
        <f>COUNTIFS('1st Calibration'!$C:$C, "1st", '1st Calibration'!$F:$F, "&gt;0.05") + COUNTIFS('1st Calibration'!$C:$C, "1st", '1st Calibration'!$F:$F, "&lt;-0.05") -E5</f>
        <v>7</v>
      </c>
      <c r="E5" s="20">
        <f>COUNTIFS('1st Calibration'!$C:$C, "1st", '1st Calibration'!$F:$F, "&gt;0.10") + COUNTIFS('1st Calibration'!$C:$C, "1st", '1st Calibration'!$F:$F, "&lt;-0.10")</f>
        <v>8</v>
      </c>
      <c r="F5" s="20">
        <f>SUM(C5:E5)</f>
        <v>26</v>
      </c>
      <c r="G5" s="21"/>
      <c r="I5" s="29" t="s">
        <v>502</v>
      </c>
      <c r="J5" s="20">
        <f>(COUNTIF('1st Calibration Comparisons'!$C:$C, "1st"))-K5-L5</f>
        <v>11</v>
      </c>
      <c r="K5" s="20">
        <f>COUNTIFS('1st Calibration Comparisons'!$C:$C, "1st", '1st Calibration Comparisons'!$F:$F, "&gt;0.05") + COUNTIFS('1st Calibration Comparisons'!$C:$C, "1st", '1st Calibration Comparisons'!$F:$F, "&lt;-0.05") -L5</f>
        <v>7</v>
      </c>
      <c r="L5" s="20">
        <f>COUNTIFS('1st Calibration Comparisons'!$C:$C, "1st", '1st Calibration Comparisons'!$F:$F, "&gt;0.10") + COUNTIFS('1st Calibration Comparisons'!$C:$C, "1st", '1st Calibration Comparisons'!$F:$F, "&lt;-0.10")</f>
        <v>8</v>
      </c>
      <c r="M5" s="20">
        <f>SUM(J5:L5)</f>
        <v>26</v>
      </c>
    </row>
    <row r="6" spans="2:14" x14ac:dyDescent="0.3">
      <c r="B6" s="18" t="s">
        <v>503</v>
      </c>
      <c r="C6" s="22">
        <f>(C5/$F$5)-(C4/$F$4)</f>
        <v>0.12949894142554691</v>
      </c>
      <c r="D6" s="22">
        <f>(D5/$F$5)-(D4/$F$4)</f>
        <v>7.1983062808750858E-2</v>
      </c>
      <c r="E6" s="22">
        <f>(E5/$F$5)-(E4/$F$4)</f>
        <v>-0.20148200423429774</v>
      </c>
      <c r="F6" s="20"/>
      <c r="G6" s="21"/>
      <c r="I6" s="28" t="s">
        <v>503</v>
      </c>
      <c r="J6" s="22">
        <f>(J5/$M$5)-(J4/$M$4)</f>
        <v>7.6923076923076927E-2</v>
      </c>
      <c r="K6" s="22">
        <f>(K5/$M$5)-(K4/$M$4)</f>
        <v>0.19230769230769229</v>
      </c>
      <c r="L6" s="22">
        <f>(L5/$M$5)-(L4/$M$4)</f>
        <v>-0.26923076923076916</v>
      </c>
      <c r="M6" s="20"/>
    </row>
    <row r="7" spans="2:14" x14ac:dyDescent="0.3">
      <c r="B7" s="18" t="s">
        <v>504</v>
      </c>
      <c r="C7" s="20">
        <f>(COUNTIF('2nd Calibration'!$C:$C, "2nd")) -D7-E7</f>
        <v>2</v>
      </c>
      <c r="D7" s="20">
        <f>COUNTIFS('2nd Calibration'!$C:$C, "2nd", '2nd Calibration'!$F:$F, "&gt;0.05") + COUNTIFS('2nd Calibration'!$C:$C, "2nd", '2nd Calibration'!$F:$F, "&lt;-0.05") -E7</f>
        <v>1</v>
      </c>
      <c r="E7" s="20">
        <f>COUNTIFS('2nd Calibration'!$C:$C, "2nd", '2nd Calibration'!$F:$F, "&gt;0.10") + COUNTIFS('2nd Calibration'!$C:$C, "2nd", '2nd Calibration'!$F:$F, "&lt;-0.10")</f>
        <v>1</v>
      </c>
      <c r="F7" s="20">
        <f t="shared" ref="F7" si="0">SUM(C7:E7)</f>
        <v>4</v>
      </c>
      <c r="G7" s="21"/>
    </row>
    <row r="8" spans="2:14" x14ac:dyDescent="0.3">
      <c r="B8" s="18" t="s">
        <v>503</v>
      </c>
      <c r="C8" s="22">
        <f>(C7/$F$7)-(C5/$F$5)</f>
        <v>7.6923076923076927E-2</v>
      </c>
      <c r="D8" s="22">
        <f>(D7/$F$7)-(D5/$F$5)</f>
        <v>-1.9230769230769218E-2</v>
      </c>
      <c r="E8" s="22">
        <f>(E7/$F$7)-(E5/$F$5)</f>
        <v>-5.7692307692307709E-2</v>
      </c>
      <c r="F8" s="20"/>
      <c r="G8" s="21"/>
    </row>
    <row r="9" spans="2:14" x14ac:dyDescent="0.3">
      <c r="C9" s="21"/>
      <c r="D9" s="21"/>
      <c r="E9" s="21"/>
      <c r="F9" s="21"/>
      <c r="G9" s="21"/>
    </row>
    <row r="10" spans="2:14" x14ac:dyDescent="0.3">
      <c r="B10" t="s">
        <v>505</v>
      </c>
      <c r="C10" s="21"/>
      <c r="D10" s="21"/>
      <c r="E10" s="21"/>
      <c r="F10" s="21"/>
      <c r="G10" s="21"/>
      <c r="I10" s="24" t="s">
        <v>505</v>
      </c>
    </row>
    <row r="11" spans="2:14" x14ac:dyDescent="0.3">
      <c r="B11" s="18"/>
      <c r="C11" s="20" t="s">
        <v>499</v>
      </c>
      <c r="D11" s="20" t="s">
        <v>500</v>
      </c>
      <c r="E11" s="20" t="s">
        <v>501</v>
      </c>
      <c r="F11" s="20" t="s">
        <v>13</v>
      </c>
      <c r="G11" s="20" t="s">
        <v>172</v>
      </c>
      <c r="I11" s="28"/>
      <c r="J11" s="20" t="s">
        <v>499</v>
      </c>
      <c r="K11" s="20" t="s">
        <v>500</v>
      </c>
      <c r="L11" s="20" t="s">
        <v>501</v>
      </c>
      <c r="M11" s="20" t="s">
        <v>13</v>
      </c>
      <c r="N11" s="18"/>
    </row>
    <row r="12" spans="2:14" x14ac:dyDescent="0.3">
      <c r="B12" s="18" t="s">
        <v>515</v>
      </c>
      <c r="C12" s="20">
        <f>COUNTIF(Baseline!$G:$J, "&gt;0") + COUNTIF(Baseline!$G:$J, "&lt;0") + COUNTIF(Baseline!$G:$J, "=0")-D12-E12</f>
        <v>333</v>
      </c>
      <c r="D12" s="20">
        <f>COUNTIF(Baseline!$G:$J, "&gt;0.05") + COUNTIF(Baseline!$G:$J, "&lt;-0.05") -E12</f>
        <v>135</v>
      </c>
      <c r="E12" s="20">
        <f>COUNTIF(Baseline!$G:$J, "&gt;0.10") + COUNTIF(Baseline!$G:$J, "&lt;-0.10")</f>
        <v>379</v>
      </c>
      <c r="F12" s="20">
        <f>COUNTIF(Baseline!$G:$J, "NA")</f>
        <v>25</v>
      </c>
      <c r="G12" s="20">
        <f>SUM(C12:F12)</f>
        <v>872</v>
      </c>
      <c r="I12" s="28" t="s">
        <v>515</v>
      </c>
      <c r="J12" s="20">
        <f>(M4*4)-K12-L12-M12</f>
        <v>48</v>
      </c>
      <c r="K12" s="20">
        <f>COUNTIFS('1st Calibration Comparisons'!$C:$C,"none",'1st Calibration Comparisons'!$G:$G,"&gt;0.05")+COUNTIFS('1st Calibration Comparisons'!$C:$C,"none",'1st Calibration Comparisons'!$G:$G,"&lt;-0.05")+COUNTIFS('1st Calibration Comparisons'!$C:$C,"none",'1st Calibration Comparisons'!$H:$H,"&gt;0.05")+COUNTIFS('1st Calibration Comparisons'!$C:$C,"none",'1st Calibration Comparisons'!$H:$H,"&lt;-0.05")+COUNTIFS('1st Calibration Comparisons'!$C:$C,"none",'1st Calibration Comparisons'!$I:$I,"&gt;0.05")+COUNTIFS('1st Calibration Comparisons'!$C:$C,"none",'1st Calibration Comparisons'!$I:$I,"&lt;-0.05") + COUNTIFS('1st Calibration Comparisons'!$C:$C, "none", '1st Calibration Comparisons'!$J:$J, "&gt;0.05") + COUNTIFS('1st Calibration Comparisons'!$C:$C, "none", '1st Calibration Comparisons'!$J:$J, "&lt;-0.05") -L12</f>
        <v>21</v>
      </c>
      <c r="L12" s="20">
        <f>COUNTIFS('1st Calibration Comparisons'!$C:$C,"none",'1st Calibration Comparisons'!$G:$G,"&lt;-0.10") + COUNTIFS('1st Calibration Comparisons'!$C:$C,"none",'1st Calibration Comparisons'!$G:$G,"&gt;0.10") + COUNTIFS('1st Calibration Comparisons'!$C:$C,"none",'1st Calibration Comparisons'!$H:$H,"&lt;-0.10") + COUNTIFS('1st Calibration Comparisons'!$C:$C,"none",'1st Calibration Comparisons'!$H:$H,"&gt;0.10") + COUNTIFS('1st Calibration Comparisons'!$C:$C,"none",'1st Calibration Comparisons'!$I:$I,"&lt;-0.10") + COUNTIFS('1st Calibration Comparisons'!$C:$C,"none",'1st Calibration Comparisons'!$I:$I,"&gt;0.10") + COUNTIFS('1st Calibration Comparisons'!$C:$C,"none",'1st Calibration Comparisons'!$J:$J,"&lt;-0.10") + COUNTIFS('1st Calibration Comparisons'!$C:$C,"none",'1st Calibration Comparisons'!$J:$J,"&gt;0.10")</f>
        <v>33</v>
      </c>
      <c r="M12" s="20">
        <f>COUNTIFS('1st Calibration Comparisons'!$C:$C,"none",'1st Calibration Comparisons'!$G:$G,"NA") + COUNTIFS('1st Calibration Comparisons'!$C:$C,"none",'1st Calibration Comparisons'!$H:$H,"NA") + COUNTIFS('1st Calibration Comparisons'!$C:$C,"none",'1st Calibration Comparisons'!$I:$I,"NA") + COUNTIFS('1st Calibration Comparisons'!$C:$C,"none",'1st Calibration Comparisons'!$J:$J,"NA")</f>
        <v>2</v>
      </c>
      <c r="N12" s="20">
        <f>SUM(J12:M12)</f>
        <v>104</v>
      </c>
    </row>
    <row r="13" spans="2:14" x14ac:dyDescent="0.3">
      <c r="B13" s="18" t="s">
        <v>502</v>
      </c>
      <c r="C13" s="20">
        <f>(F5*4)-D13-E13-F13</f>
        <v>54</v>
      </c>
      <c r="D13" s="20">
        <f>COUNTIFS('1st Calibration'!$C:$C,"1st",'1st Calibration'!$G:$G,"&gt;0.05")+COUNTIFS('1st Calibration'!$C:$C,"1st",'1st Calibration'!$G:$G,"&lt;-0.05")+COUNTIFS('1st Calibration'!$C:$C,"1st",'1st Calibration'!$H:$H,"&gt;0.05")+COUNTIFS('1st Calibration'!$C:$C,"1st",'1st Calibration'!$H:$H,"&lt;-0.05")+COUNTIFS('1st Calibration'!$C:$C,"1st",'1st Calibration'!$I:$I,"&gt;0.05")+COUNTIFS('1st Calibration'!$C:$C,"1st",'1st Calibration'!$I:$I,"&lt;-0.05") + COUNTIFS('1st Calibration'!$C:$C, "1st", '1st Calibration'!$J:$J, "&gt;0.05") + COUNTIFS('1st Calibration'!$C:$C, "1st", '1st Calibration'!$J:$J, "&lt;-0.05") -E13</f>
        <v>17</v>
      </c>
      <c r="E13" s="20">
        <f>COUNTIFS('1st Calibration'!$C:$C,"1st",'1st Calibration'!$G:$G,"&lt;-0.10") + COUNTIFS('1st Calibration'!$C:$C,"1st",'1st Calibration'!$G:$G,"&gt;0.10") + COUNTIFS('1st Calibration'!$C:$C,"1st",'1st Calibration'!$H:$H,"&lt;-0.10") + COUNTIFS('1st Calibration'!$C:$C,"1st",'1st Calibration'!$H:$H,"&gt;0.10") + COUNTIFS('1st Calibration'!$C:$C,"1st",'1st Calibration'!$I:$I,"&lt;-0.10") + COUNTIFS('1st Calibration'!$C:$C,"1st",'1st Calibration'!$I:$I,"&gt;0.10") + COUNTIFS('1st Calibration'!$C:$C,"1st",'1st Calibration'!$J:$J,"&lt;-0.10") + COUNTIFS('1st Calibration'!$C:$C,"1st",'1st Calibration'!$J:$J,"&gt;0.10")</f>
        <v>30</v>
      </c>
      <c r="F13" s="20">
        <f>COUNTIFS('1st Calibration'!$C:$C,"1st",'1st Calibration'!$G:$G,"NA") + COUNTIFS('1st Calibration'!$C:$C,"1st",'1st Calibration'!$H:$H,"NA") + COUNTIFS('1st Calibration'!$C:$C,"1st",'1st Calibration'!$I:$I,"NA") + COUNTIFS('1st Calibration'!$C:$C,"1st",'1st Calibration'!$J:$J,"NA")</f>
        <v>3</v>
      </c>
      <c r="G13" s="20">
        <f>SUM(C13:F13)</f>
        <v>104</v>
      </c>
      <c r="I13" s="29" t="s">
        <v>502</v>
      </c>
      <c r="J13" s="20">
        <f>(M5*4)-K13-L13-M13</f>
        <v>54</v>
      </c>
      <c r="K13" s="20">
        <f>COUNTIFS('1st Calibration'!$C:$C,"1st",'1st Calibration'!$G:$G,"&gt;0.05")+COUNTIFS('1st Calibration'!$C:$C,"1st",'1st Calibration'!$G:$G,"&lt;-0.05")+COUNTIFS('1st Calibration'!$C:$C,"1st",'1st Calibration'!$H:$H,"&gt;0.05")+COUNTIFS('1st Calibration'!$C:$C,"1st",'1st Calibration'!$H:$H,"&lt;-0.05")+COUNTIFS('1st Calibration'!$C:$C,"1st",'1st Calibration'!$I:$I,"&gt;0.05")+COUNTIFS('1st Calibration'!$C:$C,"1st",'1st Calibration'!$I:$I,"&lt;-0.05") + COUNTIFS('1st Calibration'!$C:$C, "1st", '1st Calibration'!$J:$J, "&gt;0.05") + COUNTIFS('1st Calibration'!$C:$C, "1st", '1st Calibration'!$J:$J, "&lt;-0.05") -L13</f>
        <v>17</v>
      </c>
      <c r="L13" s="20">
        <f>COUNTIFS('1st Calibration'!$C:$C,"1st",'1st Calibration'!$G:$G,"&lt;-0.10") + COUNTIFS('1st Calibration'!$C:$C,"1st",'1st Calibration'!$G:$G,"&gt;0.10") + COUNTIFS('1st Calibration'!$C:$C,"1st",'1st Calibration'!$H:$H,"&lt;-0.10") + COUNTIFS('1st Calibration'!$C:$C,"1st",'1st Calibration'!$H:$H,"&gt;0.10") + COUNTIFS('1st Calibration'!$C:$C,"1st",'1st Calibration'!$I:$I,"&lt;-0.10") + COUNTIFS('1st Calibration'!$C:$C,"1st",'1st Calibration'!$I:$I,"&gt;0.10") + COUNTIFS('1st Calibration'!$C:$C,"1st",'1st Calibration'!$J:$J,"&lt;-0.10") + COUNTIFS('1st Calibration'!$C:$C,"1st",'1st Calibration'!$J:$J,"&gt;0.10")</f>
        <v>30</v>
      </c>
      <c r="M13" s="20">
        <f>COUNTIFS('1st Calibration'!$C:$C,"1st",'1st Calibration'!$G:$G,"NA") + COUNTIFS('1st Calibration'!$C:$C,"1st",'1st Calibration'!$H:$H,"NA") + COUNTIFS('1st Calibration'!$C:$C,"1st",'1st Calibration'!$I:$I,"NA") + COUNTIFS('1st Calibration'!$C:$C,"1st",'1st Calibration'!$J:$J,"NA")</f>
        <v>3</v>
      </c>
      <c r="N13" s="20">
        <f>SUM(J13:M13)</f>
        <v>104</v>
      </c>
    </row>
    <row r="14" spans="2:14" x14ac:dyDescent="0.3">
      <c r="B14" s="18" t="s">
        <v>503</v>
      </c>
      <c r="C14" s="22">
        <f>(C13/$G$13)-(C12/$G$12)</f>
        <v>0.13735003528581513</v>
      </c>
      <c r="D14" s="22">
        <f>(D13/$G$13)-(D12/$G$12)</f>
        <v>8.645024700070586E-3</v>
      </c>
      <c r="E14" s="22">
        <f>(E13/$G$13)-(E12/$G$12)</f>
        <v>-0.14617148906139732</v>
      </c>
      <c r="F14" s="22">
        <f>(F13/$G$13)-(F12/$G$12)</f>
        <v>1.7642907551164433E-4</v>
      </c>
      <c r="G14" s="20"/>
      <c r="I14" s="28" t="s">
        <v>503</v>
      </c>
      <c r="J14" s="22">
        <f>(J13/$N$13)-(J12/$N$12)</f>
        <v>5.7692307692307709E-2</v>
      </c>
      <c r="K14" s="22">
        <f>(K13/$N$13)-(K12/$N$12)</f>
        <v>-3.8461538461538464E-2</v>
      </c>
      <c r="L14" s="22">
        <f t="shared" ref="L14:M14" si="1">(L13/$N$13)-(L12/$N$12)</f>
        <v>-2.8846153846153855E-2</v>
      </c>
      <c r="M14" s="22">
        <f t="shared" si="1"/>
        <v>9.6153846153846159E-3</v>
      </c>
      <c r="N14" s="20"/>
    </row>
    <row r="15" spans="2:14" x14ac:dyDescent="0.3">
      <c r="B15" s="18" t="s">
        <v>504</v>
      </c>
      <c r="C15" s="20">
        <f>(F7*4)-D15-E15-F15</f>
        <v>10</v>
      </c>
      <c r="D15" s="20">
        <f>COUNTIFS('2nd Calibration'!$C:$C,"2nd",'2nd Calibration'!$G:$G,"&gt;0.05")+COUNTIFS('2nd Calibration'!$C:$C,"2nd",'2nd Calibration'!$G:$G,"&lt;-0.05")+COUNTIFS('2nd Calibration'!$C:$C,"2nd",'2nd Calibration'!$H:$H,"&gt;0.05")+COUNTIFS('2nd Calibration'!$C:$C,"2nd",'2nd Calibration'!$H:$H,"&lt;-0.05")+COUNTIFS('2nd Calibration'!$C:$C,"2nd",'2nd Calibration'!$I:$I,"&gt;0.05")+COUNTIFS('2nd Calibration'!$C:$C,"2nd",'2nd Calibration'!$I:$I,"&lt;-0.05") + COUNTIFS('2nd Calibration'!$C:$C, "2nd", '2nd Calibration'!$J:$J, "&gt;0.05") + COUNTIFS('2nd Calibration'!$C:$C, "2nd", '2nd Calibration'!$J:$J, "&lt;-0.05") -E15</f>
        <v>2</v>
      </c>
      <c r="E15" s="20">
        <f>COUNTIFS('2nd Calibration'!$C:$C,"2nd",'2nd Calibration'!$G:$G,"&lt;-0.10") + COUNTIFS('2nd Calibration'!$C:$C,"2nd",'2nd Calibration'!$G:$G,"&gt;0.10") + COUNTIFS('2nd Calibration'!$C:$C,"2nd",'2nd Calibration'!$H:$H,"&lt;-0.10") + COUNTIFS('2nd Calibration'!$C:$C,"2nd",'2nd Calibration'!$H:$H,"&gt;0.10") + COUNTIFS('2nd Calibration'!$C:$C,"2nd",'2nd Calibration'!$I:$I,"&lt;-0.10") + COUNTIFS('2nd Calibration'!$C:$C,"2nd",'2nd Calibration'!$I:$I,"&gt;0.10") + COUNTIFS('2nd Calibration'!$C:$C,"2nd",'2nd Calibration'!$J:$J,"&lt;-0.10") + COUNTIFS('2nd Calibration'!$C:$C,"2nd",'2nd Calibration'!$J:$J,"&gt;0.10")</f>
        <v>3</v>
      </c>
      <c r="F15" s="20">
        <f>COUNTIFS('2nd Calibration'!$C:$C,"2nd",'2nd Calibration'!$G:$G,"NA") + COUNTIFS('2nd Calibration'!$C:$C,"2nd",'2nd Calibration'!$H:$H,"NA") + COUNTIFS('2nd Calibration'!$C:$C,"2nd",'2nd Calibration'!$I:$I,"NA") + COUNTIFS('2nd Calibration'!$C:$C,"2nd",'2nd Calibration'!$J:$J,"NA")</f>
        <v>1</v>
      </c>
      <c r="G15" s="20">
        <f t="shared" ref="G15" si="2">SUM(C15:F15)</f>
        <v>16</v>
      </c>
      <c r="J15"/>
      <c r="K15"/>
    </row>
    <row r="16" spans="2:14" x14ac:dyDescent="0.3">
      <c r="B16" s="18" t="s">
        <v>503</v>
      </c>
      <c r="C16" s="22">
        <f>(C15/$G$15)-(C13/$G$13)</f>
        <v>0.10576923076923073</v>
      </c>
      <c r="D16" s="22">
        <f>(D15/$G$15)-(D13/$G$13)</f>
        <v>-3.8461538461538464E-2</v>
      </c>
      <c r="E16" s="22">
        <f>(E15/$G$15)-(E13/$G$13)</f>
        <v>-0.10096153846153844</v>
      </c>
      <c r="F16" s="22">
        <f>(F15/$G$15)-(F13/$G$13)</f>
        <v>3.3653846153846152E-2</v>
      </c>
      <c r="G16" s="20"/>
      <c r="J16"/>
      <c r="K16"/>
    </row>
    <row r="17" spans="2:14" x14ac:dyDescent="0.3">
      <c r="C17" s="21"/>
      <c r="D17" s="21"/>
      <c r="E17" s="21"/>
      <c r="F17" s="21"/>
      <c r="G17" s="21"/>
      <c r="J17"/>
      <c r="K17"/>
    </row>
    <row r="18" spans="2:14" x14ac:dyDescent="0.3">
      <c r="B18" t="s">
        <v>506</v>
      </c>
      <c r="C18" s="21"/>
      <c r="D18" s="21"/>
      <c r="E18" s="21"/>
      <c r="F18" s="21"/>
      <c r="G18" s="21"/>
      <c r="I18" s="24" t="s">
        <v>505</v>
      </c>
    </row>
    <row r="19" spans="2:14" x14ac:dyDescent="0.3">
      <c r="B19" s="18"/>
      <c r="C19" s="20" t="s">
        <v>499</v>
      </c>
      <c r="D19" s="20" t="s">
        <v>500</v>
      </c>
      <c r="E19" s="20" t="s">
        <v>501</v>
      </c>
      <c r="F19" s="20" t="s">
        <v>13</v>
      </c>
      <c r="G19" s="20" t="s">
        <v>172</v>
      </c>
      <c r="I19" s="28"/>
      <c r="J19" s="20" t="s">
        <v>499</v>
      </c>
      <c r="K19" s="20" t="s">
        <v>500</v>
      </c>
      <c r="L19" s="20" t="s">
        <v>501</v>
      </c>
      <c r="M19" s="20" t="s">
        <v>13</v>
      </c>
      <c r="N19" s="18"/>
    </row>
    <row r="20" spans="2:14" x14ac:dyDescent="0.3">
      <c r="B20" s="18" t="s">
        <v>515</v>
      </c>
      <c r="C20" s="20">
        <f>COUNTIF(Baseline!$K:$V, "&gt;0") + COUNTIF(Baseline!$K:$V, "&lt;0") + COUNTIF(Baseline!$K:$V, "=0")-D20-E20</f>
        <v>977</v>
      </c>
      <c r="D20" s="20">
        <f>COUNTIF(Baseline!$K:$V, "&gt;0.05") + COUNTIF(Baseline!$K:$V, "&lt;-0.05") -E20</f>
        <v>276</v>
      </c>
      <c r="E20" s="20">
        <f>COUNTIF(Baseline!$K:$V, "&gt;0.10") + COUNTIF(Baseline!$K:$V, "&lt;-0.10")</f>
        <v>1240</v>
      </c>
      <c r="F20" s="20">
        <f>COUNTIF(Baseline!$K:$V, "NA")</f>
        <v>121</v>
      </c>
      <c r="G20" s="20">
        <f>SUM(C20:F20)</f>
        <v>2614</v>
      </c>
      <c r="I20" s="28" t="s">
        <v>515</v>
      </c>
      <c r="J20" s="20">
        <f>(N12*3)-K20-L20-M20</f>
        <v>114</v>
      </c>
      <c r="K20" s="20">
        <f>COUNTIFS('1st Calibration Comparisons'!$C:$C,"none",'1st Calibration Comparisons'!$K:$K,"&lt;-0.05") + COUNTIFS('1st Calibration Comparisons'!$C:$C,"none",'1st Calibration Comparisons'!$K:$K,"&gt;0.05") + COUNTIFS('1st Calibration Comparisons'!$C:$C,"none",'1st Calibration Comparisons'!$L:$L,"&lt;-0.05") + COUNTIFS('1st Calibration Comparisons'!$C:$C,"none",'1st Calibration Comparisons'!$L:$L,"&gt;0.05") + COUNTIFS('1st Calibration Comparisons'!$C:$C,"none",'1st Calibration Comparisons'!$M:$M,"&lt;-0.05") + COUNTIFS('1st Calibration Comparisons'!$C:$C,"none",'1st Calibration Comparisons'!$M:$M,"&gt;0.05") + COUNTIFS('1st Calibration Comparisons'!$C:$C,"none",'1st Calibration Comparisons'!$N:$N,"&lt;-0.05") + COUNTIFS('1st Calibration Comparisons'!$C:$C,"none",'1st Calibration Comparisons'!$N:$N,"&gt;0.05") + COUNTIFS('1st Calibration Comparisons'!$C:$C,"none",'1st Calibration Comparisons'!$O:$O,"&lt;-0.05") + COUNTIFS('1st Calibration Comparisons'!$C:$C,"none",'1st Calibration Comparisons'!$O:$O,"&gt;0.05") + COUNTIFS('1st Calibration Comparisons'!$C:$C,"none",'1st Calibration Comparisons'!$P:$P,"&lt;-0.05") + COUNTIFS('1st Calibration Comparisons'!$C:$C,"none",'1st Calibration Comparisons'!$P:$P,"&gt;0.05") + COUNTIFS('1st Calibration Comparisons'!$C:$C,"none",'1st Calibration Comparisons'!$Q:$Q,"&lt;-0.05") + COUNTIFS('1st Calibration Comparisons'!$C:$C,"none",'1st Calibration Comparisons'!$Q:$Q,"&gt;0.05") + COUNTIFS('1st Calibration Comparisons'!$C:$C,"none",'1st Calibration Comparisons'!$R:$R,"&lt;-0.05") + COUNTIFS('1st Calibration Comparisons'!$C:$C,"none",'1st Calibration Comparisons'!$R:$R,"&gt;0.05") + COUNTIFS('1st Calibration Comparisons'!$C:$C,"none",'1st Calibration Comparisons'!$S:$S,"&lt;-0.05") + COUNTIFS('1st Calibration Comparisons'!$C:$C,"none",'1st Calibration Comparisons'!$S:$S,"&gt;0.05") + COUNTIFS('1st Calibration Comparisons'!$C:$C,"none",'1st Calibration Comparisons'!$T:$T,"&lt;-0.05") + COUNTIFS('1st Calibration Comparisons'!$C:$C,"none",'1st Calibration Comparisons'!$T:$T,"&gt;0.05") + COUNTIFS('1st Calibration Comparisons'!$C:$C,"none",'1st Calibration Comparisons'!$U:$U,"&lt;-0.05") + COUNTIFS('1st Calibration Comparisons'!$C:$C,"none",'1st Calibration Comparisons'!$U:$U,"&gt;0.05") + COUNTIFS('1st Calibration Comparisons'!$C:$C,"none",'1st Calibration Comparisons'!$V:$V,"&lt;-0.05") + COUNTIFS('1st Calibration Comparisons'!$C:$C,"none",'1st Calibration Comparisons'!$V:$V,"&gt;0.05") -L20</f>
        <v>44</v>
      </c>
      <c r="L20" s="20">
        <f>COUNTIFS('1st Calibration Comparisons'!$C:$C,"none",'1st Calibration Comparisons'!$K:$K,"&lt;-0.10") + COUNTIFS('1st Calibration Comparisons'!$C:$C,"none",'1st Calibration Comparisons'!$K:$K,"&gt;0.10") + COUNTIFS('1st Calibration Comparisons'!$C:$C,"none",'1st Calibration Comparisons'!$L:$L,"&lt;-0.10") + COUNTIFS('1st Calibration Comparisons'!$C:$C,"none",'1st Calibration Comparisons'!$L:$L,"&gt;0.10") + COUNTIFS('1st Calibration Comparisons'!$C:$C,"none",'1st Calibration Comparisons'!$M:$M,"&lt;-0.10") + COUNTIFS('1st Calibration Comparisons'!$C:$C,"none",'1st Calibration Comparisons'!$M:$M,"&gt;0.10") + COUNTIFS('1st Calibration Comparisons'!$C:$C,"none",'1st Calibration Comparisons'!$N:$N,"&lt;-0.10") + COUNTIFS('1st Calibration Comparisons'!$C:$C,"none",'1st Calibration Comparisons'!$N:$N,"&gt;0.10") + COUNTIFS('1st Calibration Comparisons'!$C:$C,"none",'1st Calibration Comparisons'!$O:$O,"&lt;-0.10") + COUNTIFS('1st Calibration Comparisons'!$C:$C,"none",'1st Calibration Comparisons'!$O:$O,"&gt;0.10") + COUNTIFS('1st Calibration Comparisons'!$C:$C,"none",'1st Calibration Comparisons'!$P:$P,"&lt;-0.10") + COUNTIFS('1st Calibration Comparisons'!$C:$C,"none",'1st Calibration Comparisons'!$P:$P,"&gt;0.10") + COUNTIFS('1st Calibration Comparisons'!$C:$C,"none",'1st Calibration Comparisons'!$Q:$Q,"&lt;-0.10") + COUNTIFS('1st Calibration Comparisons'!$C:$C,"none",'1st Calibration Comparisons'!$Q:$Q,"&gt;0.10") + COUNTIFS('1st Calibration Comparisons'!$C:$C,"none",'1st Calibration Comparisons'!$R:$R,"&lt;-0.10") + COUNTIFS('1st Calibration Comparisons'!$C:$C,"none",'1st Calibration Comparisons'!$R:$R,"&gt;0.10") + COUNTIFS('1st Calibration Comparisons'!$C:$C,"none",'1st Calibration Comparisons'!$S:$S,"&lt;-0.10") + COUNTIFS('1st Calibration Comparisons'!$C:$C,"none",'1st Calibration Comparisons'!$S:$S,"&gt;0.10") + COUNTIFS('1st Calibration Comparisons'!$C:$C,"none",'1st Calibration Comparisons'!$T:$T,"&lt;-0.10") + COUNTIFS('1st Calibration Comparisons'!$C:$C,"none",'1st Calibration Comparisons'!$T:$T,"&gt;0.10") + COUNTIFS('1st Calibration Comparisons'!$C:$C,"none",'1st Calibration Comparisons'!$U:$U,"&lt;-0.10") + COUNTIFS('1st Calibration Comparisons'!$C:$C,"none",'1st Calibration Comparisons'!$U:$U,"&gt;0.10") + COUNTIFS('1st Calibration Comparisons'!$C:$C,"none",'1st Calibration Comparisons'!$V:$V,"&lt;-0.10") + COUNTIFS('1st Calibration Comparisons'!$C:$C,"none",'1st Calibration Comparisons'!$V:$V,"&gt;0.10")</f>
        <v>145</v>
      </c>
      <c r="M20" s="20">
        <f>COUNTIFS('1st Calibration Comparisons'!$C:$C,"none",'1st Calibration Comparisons'!$K:$K,"NA")+COUNTIFS('1st Calibration Comparisons'!$C:$C,"none",'1st Calibration Comparisons'!$L:$L,"NA")+COUNTIFS('1st Calibration Comparisons'!$C:$C,"none",'1st Calibration Comparisons'!$M:$M,"NA")+COUNTIFS('1st Calibration Comparisons'!$C:$C,"none",'1st Calibration Comparisons'!$N:$N,"NA")+COUNTIFS('1st Calibration Comparisons'!$C:$C,"none",'1st Calibration Comparisons'!$O:$O,"NA")+COUNTIFS('1st Calibration Comparisons'!$C:$C,"none",'1st Calibration Comparisons'!$P:$P,"NA")+COUNTIFS('1st Calibration Comparisons'!$C:$C,"none",'1st Calibration Comparisons'!$Q:$Q,"NA")+COUNTIFS('1st Calibration Comparisons'!$C:$C,"none",'1st Calibration Comparisons'!$R:$R,"NA")+COUNTIFS('1st Calibration Comparisons'!$C:$C,"none",'1st Calibration Comparisons'!$S:$S,"NA")+COUNTIFS('1st Calibration Comparisons'!$C:$C,"none",'1st Calibration Comparisons'!$T:$T,"NA")+COUNTIFS('1st Calibration Comparisons'!$C:$C,"none",'1st Calibration Comparisons'!$U:$U,"NA")++COUNTIFS('1st Calibration Comparisons'!$C:$C,"none",'1st Calibration Comparisons'!$V:$V,"NA")</f>
        <v>9</v>
      </c>
      <c r="N20" s="20">
        <f>SUM(J20:M20)</f>
        <v>312</v>
      </c>
    </row>
    <row r="21" spans="2:14" x14ac:dyDescent="0.3">
      <c r="B21" s="18" t="s">
        <v>502</v>
      </c>
      <c r="C21" s="20">
        <f>(F5*12)-D21-E21-F21</f>
        <v>121</v>
      </c>
      <c r="D21" s="20">
        <f>COUNTIFS('1st Calibration'!$C:$C,"1st",'1st Calibration'!$K:$K,"&lt;-0.05") + COUNTIFS('1st Calibration'!$C:$C,"1st",'1st Calibration'!$K:$K,"&gt;0.05") + COUNTIFS('1st Calibration'!$C:$C,"1st",'1st Calibration'!$L:$L,"&lt;-0.05") + COUNTIFS('1st Calibration'!$C:$C,"1st",'1st Calibration'!$L:$L,"&gt;0.05") + COUNTIFS('1st Calibration'!$C:$C,"1st",'1st Calibration'!$M:$M,"&lt;-0.05") + COUNTIFS('1st Calibration'!$C:$C,"1st",'1st Calibration'!$M:$M,"&gt;0.05") + COUNTIFS('1st Calibration'!$C:$C,"1st",'1st Calibration'!$N:$N,"&lt;-0.05") + COUNTIFS('1st Calibration'!$C:$C,"1st",'1st Calibration'!$N:$N,"&gt;0.05") + COUNTIFS('1st Calibration'!$C:$C,"1st",'1st Calibration'!$O:$O,"&lt;-0.05") + COUNTIFS('1st Calibration'!$C:$C,"1st",'1st Calibration'!$O:$O,"&gt;0.05") + COUNTIFS('1st Calibration'!$C:$C,"1st",'1st Calibration'!$P:$P,"&lt;-0.05") + COUNTIFS('1st Calibration'!$C:$C,"1st",'1st Calibration'!$P:$P,"&gt;0.05") + COUNTIFS('1st Calibration'!$C:$C,"1st",'1st Calibration'!$Q:$Q,"&lt;-0.05") + COUNTIFS('1st Calibration'!$C:$C,"1st",'1st Calibration'!$Q:$Q,"&gt;0.05") + COUNTIFS('1st Calibration'!$C:$C,"1st",'1st Calibration'!$R:$R,"&lt;-0.05") + COUNTIFS('1st Calibration'!$C:$C,"1st",'1st Calibration'!$R:$R,"&gt;0.05") + COUNTIFS('1st Calibration'!$C:$C,"1st",'1st Calibration'!$S:$S,"&lt;-0.05") + COUNTIFS('1st Calibration'!$C:$C,"1st",'1st Calibration'!$S:$S,"&gt;0.05") + COUNTIFS('1st Calibration'!$C:$C,"1st",'1st Calibration'!$T:$T,"&lt;-0.05") + COUNTIFS('1st Calibration'!$C:$C,"1st",'1st Calibration'!$T:$T,"&gt;0.05") + COUNTIFS('1st Calibration'!$C:$C,"1st",'1st Calibration'!$U:$U,"&lt;-0.05") + COUNTIFS('1st Calibration'!$C:$C,"1st",'1st Calibration'!$U:$U,"&gt;0.05") + COUNTIFS('1st Calibration'!$C:$C,"1st",'1st Calibration'!$V:$V,"&lt;-0.05") + COUNTIFS('1st Calibration'!$C:$C,"1st",'1st Calibration'!$V:$V,"&gt;0.05") -E21</f>
        <v>48</v>
      </c>
      <c r="E21" s="20">
        <f>COUNTIFS('1st Calibration'!$C:$C,"1st",'1st Calibration'!$K:$K,"&lt;-0.10") + COUNTIFS('1st Calibration'!$C:$C,"1st",'1st Calibration'!$K:$K,"&gt;0.10") + COUNTIFS('1st Calibration'!$C:$C,"1st",'1st Calibration'!$L:$L,"&lt;-0.10") + COUNTIFS('1st Calibration'!$C:$C,"1st",'1st Calibration'!$L:$L,"&gt;0.10") + COUNTIFS('1st Calibration'!$C:$C,"1st",'1st Calibration'!$M:$M,"&lt;-0.10") + COUNTIFS('1st Calibration'!$C:$C,"1st",'1st Calibration'!$M:$M,"&gt;0.10") + COUNTIFS('1st Calibration'!$C:$C,"1st",'1st Calibration'!$N:$N,"&lt;-0.10") + COUNTIFS('1st Calibration'!$C:$C,"1st",'1st Calibration'!$N:$N,"&gt;0.10") + COUNTIFS('1st Calibration'!$C:$C,"1st",'1st Calibration'!$O:$O,"&lt;-0.10") + COUNTIFS('1st Calibration'!$C:$C,"1st",'1st Calibration'!$O:$O,"&gt;0.10") + COUNTIFS('1st Calibration'!$C:$C,"1st",'1st Calibration'!$P:$P,"&lt;-0.10") + COUNTIFS('1st Calibration'!$C:$C,"1st",'1st Calibration'!$P:$P,"&gt;0.10") + COUNTIFS('1st Calibration'!$C:$C,"1st",'1st Calibration'!$Q:$Q,"&lt;-0.10") + COUNTIFS('1st Calibration'!$C:$C,"1st",'1st Calibration'!$Q:$Q,"&gt;0.10") + COUNTIFS('1st Calibration'!$C:$C,"1st",'1st Calibration'!$R:$R,"&lt;-0.10") + COUNTIFS('1st Calibration'!$C:$C,"1st",'1st Calibration'!$R:$R,"&gt;0.10") + COUNTIFS('1st Calibration'!$C:$C,"1st",'1st Calibration'!$S:$S,"&lt;-0.10") + COUNTIFS('1st Calibration'!$C:$C,"1st",'1st Calibration'!$S:$S,"&gt;0.10") + COUNTIFS('1st Calibration'!$C:$C,"1st",'1st Calibration'!$T:$T,"&lt;-0.10") + COUNTIFS('1st Calibration'!$C:$C,"1st",'1st Calibration'!$T:$T,"&gt;0.10") + COUNTIFS('1st Calibration'!$C:$C,"1st",'1st Calibration'!$U:$U,"&lt;-0.10") + COUNTIFS('1st Calibration'!$C:$C,"1st",'1st Calibration'!$U:$U,"&gt;0.10") + COUNTIFS('1st Calibration'!$C:$C,"1st",'1st Calibration'!$V:$V,"&lt;-0.10") + COUNTIFS('1st Calibration'!$C:$C,"1st",'1st Calibration'!$V:$V,"&gt;0.10")</f>
        <v>127</v>
      </c>
      <c r="F21" s="20">
        <f>COUNTIFS('1st Calibration'!$C:$C,"1st",'1st Calibration'!$K:$K,"NA")+COUNTIFS('1st Calibration'!$C:$C,"1st",'1st Calibration'!$L:$L,"NA")+COUNTIFS('1st Calibration'!$C:$C,"1st",'1st Calibration'!$M:$M,"NA")+COUNTIFS('1st Calibration'!$C:$C,"1st",'1st Calibration'!$N:$N,"NA")+COUNTIFS('1st Calibration'!$C:$C,"1st",'1st Calibration'!$O:$O,"NA")+COUNTIFS('1st Calibration'!$C:$C,"1st",'1st Calibration'!$P:$P,"NA")+COUNTIFS('1st Calibration'!$C:$C,"1st",'1st Calibration'!$Q:$Q,"NA")+COUNTIFS('1st Calibration'!$C:$C,"1st",'1st Calibration'!$R:$R,"NA")+COUNTIFS('1st Calibration'!$C:$C,"1st",'1st Calibration'!$S:$S,"NA")+COUNTIFS('1st Calibration'!$C:$C,"1st",'1st Calibration'!$T:$T,"NA")+COUNTIFS('1st Calibration'!$C:$C,"1st",'1st Calibration'!$U:$U,"NA")++COUNTIFS('1st Calibration'!$C:$C,"1st",'1st Calibration'!$V:$V,"NA")</f>
        <v>16</v>
      </c>
      <c r="G21" s="20">
        <f>SUM(C21:F21)</f>
        <v>312</v>
      </c>
      <c r="I21" s="18" t="s">
        <v>502</v>
      </c>
      <c r="J21" s="20">
        <f>(M5*12)-K21-L21-M21</f>
        <v>121</v>
      </c>
      <c r="K21" s="20">
        <f>COUNTIFS('1st Calibration'!$C:$C,"1st",'1st Calibration'!$K:$K,"&lt;-0.05") + COUNTIFS('1st Calibration'!$C:$C,"1st",'1st Calibration'!$K:$K,"&gt;0.05") + COUNTIFS('1st Calibration'!$C:$C,"1st",'1st Calibration'!$L:$L,"&lt;-0.05") + COUNTIFS('1st Calibration'!$C:$C,"1st",'1st Calibration'!$L:$L,"&gt;0.05") + COUNTIFS('1st Calibration'!$C:$C,"1st",'1st Calibration'!$M:$M,"&lt;-0.05") + COUNTIFS('1st Calibration'!$C:$C,"1st",'1st Calibration'!$M:$M,"&gt;0.05") + COUNTIFS('1st Calibration'!$C:$C,"1st",'1st Calibration'!$N:$N,"&lt;-0.05") + COUNTIFS('1st Calibration'!$C:$C,"1st",'1st Calibration'!$N:$N,"&gt;0.05") + COUNTIFS('1st Calibration'!$C:$C,"1st",'1st Calibration'!$O:$O,"&lt;-0.05") + COUNTIFS('1st Calibration'!$C:$C,"1st",'1st Calibration'!$O:$O,"&gt;0.05") + COUNTIFS('1st Calibration'!$C:$C,"1st",'1st Calibration'!$P:$P,"&lt;-0.05") + COUNTIFS('1st Calibration'!$C:$C,"1st",'1st Calibration'!$P:$P,"&gt;0.05") + COUNTIFS('1st Calibration'!$C:$C,"1st",'1st Calibration'!$Q:$Q,"&lt;-0.05") + COUNTIFS('1st Calibration'!$C:$C,"1st",'1st Calibration'!$Q:$Q,"&gt;0.05") + COUNTIFS('1st Calibration'!$C:$C,"1st",'1st Calibration'!$R:$R,"&lt;-0.05") + COUNTIFS('1st Calibration'!$C:$C,"1st",'1st Calibration'!$R:$R,"&gt;0.05") + COUNTIFS('1st Calibration'!$C:$C,"1st",'1st Calibration'!$S:$S,"&lt;-0.05") + COUNTIFS('1st Calibration'!$C:$C,"1st",'1st Calibration'!$S:$S,"&gt;0.05") + COUNTIFS('1st Calibration'!$C:$C,"1st",'1st Calibration'!$T:$T,"&lt;-0.05") + COUNTIFS('1st Calibration'!$C:$C,"1st",'1st Calibration'!$T:$T,"&gt;0.05") + COUNTIFS('1st Calibration'!$C:$C,"1st",'1st Calibration'!$U:$U,"&lt;-0.05") + COUNTIFS('1st Calibration'!$C:$C,"1st",'1st Calibration'!$U:$U,"&gt;0.05") + COUNTIFS('1st Calibration'!$C:$C,"1st",'1st Calibration'!$V:$V,"&lt;-0.05") + COUNTIFS('1st Calibration'!$C:$C,"1st",'1st Calibration'!$V:$V,"&gt;0.05") -L21</f>
        <v>48</v>
      </c>
      <c r="L21" s="20">
        <f>COUNTIFS('1st Calibration'!$C:$C,"1st",'1st Calibration'!$K:$K,"&lt;-0.10") + COUNTIFS('1st Calibration'!$C:$C,"1st",'1st Calibration'!$K:$K,"&gt;0.10") + COUNTIFS('1st Calibration'!$C:$C,"1st",'1st Calibration'!$L:$L,"&lt;-0.10") + COUNTIFS('1st Calibration'!$C:$C,"1st",'1st Calibration'!$L:$L,"&gt;0.10") + COUNTIFS('1st Calibration'!$C:$C,"1st",'1st Calibration'!$M:$M,"&lt;-0.10") + COUNTIFS('1st Calibration'!$C:$C,"1st",'1st Calibration'!$M:$M,"&gt;0.10") + COUNTIFS('1st Calibration'!$C:$C,"1st",'1st Calibration'!$N:$N,"&lt;-0.10") + COUNTIFS('1st Calibration'!$C:$C,"1st",'1st Calibration'!$N:$N,"&gt;0.10") + COUNTIFS('1st Calibration'!$C:$C,"1st",'1st Calibration'!$O:$O,"&lt;-0.10") + COUNTIFS('1st Calibration'!$C:$C,"1st",'1st Calibration'!$O:$O,"&gt;0.10") + COUNTIFS('1st Calibration'!$C:$C,"1st",'1st Calibration'!$P:$P,"&lt;-0.10") + COUNTIFS('1st Calibration'!$C:$C,"1st",'1st Calibration'!$P:$P,"&gt;0.10") + COUNTIFS('1st Calibration'!$C:$C,"1st",'1st Calibration'!$Q:$Q,"&lt;-0.10") + COUNTIFS('1st Calibration'!$C:$C,"1st",'1st Calibration'!$Q:$Q,"&gt;0.10") + COUNTIFS('1st Calibration'!$C:$C,"1st",'1st Calibration'!$R:$R,"&lt;-0.10") + COUNTIFS('1st Calibration'!$C:$C,"1st",'1st Calibration'!$R:$R,"&gt;0.10") + COUNTIFS('1st Calibration'!$C:$C,"1st",'1st Calibration'!$S:$S,"&lt;-0.10") + COUNTIFS('1st Calibration'!$C:$C,"1st",'1st Calibration'!$S:$S,"&gt;0.10") + COUNTIFS('1st Calibration'!$C:$C,"1st",'1st Calibration'!$T:$T,"&lt;-0.10") + COUNTIFS('1st Calibration'!$C:$C,"1st",'1st Calibration'!$T:$T,"&gt;0.10") + COUNTIFS('1st Calibration'!$C:$C,"1st",'1st Calibration'!$U:$U,"&lt;-0.10") + COUNTIFS('1st Calibration'!$C:$C,"1st",'1st Calibration'!$U:$U,"&gt;0.10") + COUNTIFS('1st Calibration'!$C:$C,"1st",'1st Calibration'!$V:$V,"&lt;-0.10") + COUNTIFS('1st Calibration'!$C:$C,"1st",'1st Calibration'!$V:$V,"&gt;0.10")</f>
        <v>127</v>
      </c>
      <c r="M21" s="20">
        <f>COUNTIFS('1st Calibration'!$C:$C,"1st",'1st Calibration'!$K:$K,"NA")+COUNTIFS('1st Calibration'!$C:$C,"1st",'1st Calibration'!$L:$L,"NA")+COUNTIFS('1st Calibration'!$C:$C,"1st",'1st Calibration'!$M:$M,"NA")+COUNTIFS('1st Calibration'!$C:$C,"1st",'1st Calibration'!$N:$N,"NA")+COUNTIFS('1st Calibration'!$C:$C,"1st",'1st Calibration'!$O:$O,"NA")+COUNTIFS('1st Calibration'!$C:$C,"1st",'1st Calibration'!$P:$P,"NA")+COUNTIFS('1st Calibration'!$C:$C,"1st",'1st Calibration'!$Q:$Q,"NA")+COUNTIFS('1st Calibration'!$C:$C,"1st",'1st Calibration'!$R:$R,"NA")+COUNTIFS('1st Calibration'!$C:$C,"1st",'1st Calibration'!$S:$S,"NA")+COUNTIFS('1st Calibration'!$C:$C,"1st",'1st Calibration'!$T:$T,"NA")+COUNTIFS('1st Calibration'!$C:$C,"1st",'1st Calibration'!$U:$U,"NA")++COUNTIFS('1st Calibration'!$C:$C,"1st",'1st Calibration'!$V:$V,"NA")</f>
        <v>16</v>
      </c>
      <c r="N21" s="20">
        <f>SUM(J21:M21)</f>
        <v>312</v>
      </c>
    </row>
    <row r="22" spans="2:14" x14ac:dyDescent="0.3">
      <c r="B22" s="18" t="s">
        <v>503</v>
      </c>
      <c r="C22" s="22">
        <f>(C21/$G$21)-(C20/$G$20)</f>
        <v>1.4063818099778302E-2</v>
      </c>
      <c r="D22" s="22">
        <f t="shared" ref="D22:F22" si="3">(D21/$G$21)-(D20/$G$20)</f>
        <v>4.8260843976222711E-2</v>
      </c>
      <c r="E22" s="22">
        <f t="shared" si="3"/>
        <v>-6.7317501422321624E-2</v>
      </c>
      <c r="F22" s="22">
        <f t="shared" si="3"/>
        <v>4.9928393463205961E-3</v>
      </c>
      <c r="G22" s="20"/>
      <c r="I22" s="28" t="s">
        <v>503</v>
      </c>
      <c r="J22" s="22">
        <f>(J21/$N$21)-(J20/$N$20)</f>
        <v>2.2435897435897467E-2</v>
      </c>
      <c r="K22" s="22">
        <f t="shared" ref="K22:M22" si="4">(K21/$N$21)-(K20/$N$20)</f>
        <v>1.282051282051283E-2</v>
      </c>
      <c r="L22" s="22">
        <f t="shared" si="4"/>
        <v>-5.7692307692307709E-2</v>
      </c>
      <c r="M22" s="22">
        <f t="shared" si="4"/>
        <v>2.2435897435897433E-2</v>
      </c>
      <c r="N22" s="20"/>
    </row>
    <row r="23" spans="2:14" x14ac:dyDescent="0.3">
      <c r="B23" s="18" t="s">
        <v>504</v>
      </c>
      <c r="C23" s="20">
        <f>(F7*12)-D23-E23-F23</f>
        <v>28</v>
      </c>
      <c r="D23" s="20">
        <f>COUNTIFS('2nd Calibration'!$C:$C,"2nd",'2nd Calibration'!$K:$K,"&lt;-0.05") + COUNTIFS('2nd Calibration'!$C:$C,"2nd",'2nd Calibration'!$K:$K,"&gt;0.05") + COUNTIFS('2nd Calibration'!$C:$C,"2nd",'2nd Calibration'!$L:$L,"&lt;-0.05") + COUNTIFS('2nd Calibration'!$C:$C,"2nd",'2nd Calibration'!$L:$L,"&gt;0.05") + COUNTIFS('2nd Calibration'!$C:$C,"2nd",'2nd Calibration'!$M:$M,"&lt;-0.05") + COUNTIFS('2nd Calibration'!$C:$C,"2nd",'2nd Calibration'!$M:$M,"&gt;0.05") + COUNTIFS('2nd Calibration'!$C:$C,"2nd",'2nd Calibration'!$N:$N,"&lt;-0.05") + COUNTIFS('2nd Calibration'!$C:$C,"2nd",'2nd Calibration'!$N:$N,"&gt;0.05") + COUNTIFS('2nd Calibration'!$C:$C,"2nd",'2nd Calibration'!$O:$O,"&lt;-0.05") + COUNTIFS('2nd Calibration'!$C:$C,"2nd",'2nd Calibration'!$O:$O,"&gt;0.05") + COUNTIFS('2nd Calibration'!$C:$C,"2nd",'2nd Calibration'!$P:$P,"&lt;-0.05") + COUNTIFS('2nd Calibration'!$C:$C,"2nd",'2nd Calibration'!$P:$P,"&gt;0.05") + COUNTIFS('2nd Calibration'!$C:$C,"2nd",'2nd Calibration'!$Q:$Q,"&lt;-0.05") + COUNTIFS('2nd Calibration'!$C:$C,"2nd",'2nd Calibration'!$Q:$Q,"&gt;0.05") + COUNTIFS('2nd Calibration'!$C:$C,"2nd",'2nd Calibration'!$R:$R,"&lt;-0.05") + COUNTIFS('2nd Calibration'!$C:$C,"2nd",'2nd Calibration'!$R:$R,"&gt;0.05") + COUNTIFS('2nd Calibration'!$C:$C,"2nd",'2nd Calibration'!$S:$S,"&lt;-0.05") + COUNTIFS('2nd Calibration'!$C:$C,"2nd",'2nd Calibration'!$S:$S,"&gt;0.05") + COUNTIFS('2nd Calibration'!$C:$C,"2nd",'2nd Calibration'!$T:$T,"&lt;-0.05") + COUNTIFS('2nd Calibration'!$C:$C,"2nd",'2nd Calibration'!$T:$T,"&gt;0.05") + COUNTIFS('2nd Calibration'!$C:$C,"2nd",'2nd Calibration'!$U:$U,"&lt;-0.05") + COUNTIFS('2nd Calibration'!$C:$C,"2nd",'2nd Calibration'!$U:$U,"&gt;0.05") + COUNTIFS('2nd Calibration'!$C:$C,"2nd",'2nd Calibration'!$V:$V,"&lt;-0.05") + COUNTIFS('2nd Calibration'!$C:$C,"2nd",'2nd Calibration'!$V:$V,"&gt;0.05") -E23</f>
        <v>4</v>
      </c>
      <c r="E23" s="20">
        <f>COUNTIFS('2nd Calibration'!$C:$C,"2nd",'2nd Calibration'!$K:$K,"&lt;-0.10") + COUNTIFS('2nd Calibration'!$C:$C,"2nd",'2nd Calibration'!$K:$K,"&gt;0.10") + COUNTIFS('2nd Calibration'!$C:$C,"2nd",'2nd Calibration'!$L:$L,"&lt;-0.10") + COUNTIFS('2nd Calibration'!$C:$C,"2nd",'2nd Calibration'!$L:$L,"&gt;0.10") + COUNTIFS('2nd Calibration'!$C:$C,"2nd",'2nd Calibration'!$M:$M,"&lt;-0.10") + COUNTIFS('2nd Calibration'!$C:$C,"2nd",'2nd Calibration'!$M:$M,"&gt;0.10") + COUNTIFS('2nd Calibration'!$C:$C,"2nd",'2nd Calibration'!$N:$N,"&lt;-0.10") + COUNTIFS('2nd Calibration'!$C:$C,"2nd",'2nd Calibration'!$N:$N,"&gt;0.10") + COUNTIFS('2nd Calibration'!$C:$C,"2nd",'2nd Calibration'!$O:$O,"&lt;-0.10") + COUNTIFS('2nd Calibration'!$C:$C,"2nd",'2nd Calibration'!$O:$O,"&gt;0.10") + COUNTIFS('2nd Calibration'!$C:$C,"2nd",'2nd Calibration'!$P:$P,"&lt;-0.10") + COUNTIFS('2nd Calibration'!$C:$C,"2nd",'2nd Calibration'!$P:$P,"&gt;0.10") + COUNTIFS('2nd Calibration'!$C:$C,"2nd",'2nd Calibration'!$Q:$Q,"&lt;-0.10") + COUNTIFS('2nd Calibration'!$C:$C,"2nd",'2nd Calibration'!$Q:$Q,"&gt;0.10") + COUNTIFS('2nd Calibration'!$C:$C,"2nd",'2nd Calibration'!$R:$R,"&lt;-0.10") + COUNTIFS('2nd Calibration'!$C:$C,"2nd",'2nd Calibration'!$R:$R,"&gt;0.10") + COUNTIFS('2nd Calibration'!$C:$C,"2nd",'2nd Calibration'!$S:$S,"&lt;-0.10") + COUNTIFS('2nd Calibration'!$C:$C,"2nd",'2nd Calibration'!$S:$S,"&gt;0.10") + COUNTIFS('2nd Calibration'!$C:$C,"2nd",'2nd Calibration'!$T:$T,"&lt;-0.10") + COUNTIFS('2nd Calibration'!$C:$C,"2nd",'2nd Calibration'!$T:$T,"&gt;0.10") + COUNTIFS('2nd Calibration'!$C:$C,"2nd",'2nd Calibration'!$U:$U,"&lt;-0.10") + COUNTIFS('2nd Calibration'!$C:$C,"2nd",'2nd Calibration'!$U:$U,"&gt;0.10") + COUNTIFS('2nd Calibration'!$C:$C,"2nd",'2nd Calibration'!$V:$V,"&lt;-0.10") + COUNTIFS('2nd Calibration'!$C:$C,"2nd",'2nd Calibration'!$V:$V,"&gt;0.10")</f>
        <v>11</v>
      </c>
      <c r="F23" s="20">
        <f>COUNTIFS('2nd Calibration'!$C:$C,"2nd",'2nd Calibration'!$K:$K,"NA")+COUNTIFS('2nd Calibration'!$C:$C,"2nd",'2nd Calibration'!$L:$L,"NA")+COUNTIFS('2nd Calibration'!$C:$C,"2nd",'2nd Calibration'!$M:$M,"NA")+COUNTIFS('2nd Calibration'!$C:$C,"2nd",'2nd Calibration'!$N:$N,"NA")+COUNTIFS('2nd Calibration'!$C:$C,"2nd",'2nd Calibration'!$O:$O,"NA")+COUNTIFS('2nd Calibration'!$C:$C,"2nd",'2nd Calibration'!$P:$P,"NA")+COUNTIFS('2nd Calibration'!$C:$C,"2nd",'2nd Calibration'!$Q:$Q,"NA")+COUNTIFS('2nd Calibration'!$C:$C,"2nd",'2nd Calibration'!$R:$R,"NA")+COUNTIFS('2nd Calibration'!$C:$C,"2nd",'2nd Calibration'!$S:$S,"NA")+COUNTIFS('2nd Calibration'!$C:$C,"2nd",'2nd Calibration'!$T:$T,"NA")+COUNTIFS('2nd Calibration'!$C:$C,"2nd",'2nd Calibration'!$U:$U,"NA")++COUNTIFS('2nd Calibration'!$C:$C,"2nd",'2nd Calibration'!$V:$V,"NA")</f>
        <v>5</v>
      </c>
      <c r="G23" s="20">
        <f>SUM(C23:F23)</f>
        <v>48</v>
      </c>
      <c r="I23"/>
      <c r="J23"/>
      <c r="K23"/>
    </row>
    <row r="24" spans="2:14" x14ac:dyDescent="0.3">
      <c r="B24" s="18" t="s">
        <v>503</v>
      </c>
      <c r="C24" s="22">
        <f>(C23/$G$23)-(C21/$G$21)</f>
        <v>0.19551282051282054</v>
      </c>
      <c r="D24" s="22">
        <f t="shared" ref="D24:F24" si="5">(D23/$G$23)-(D21/$G$21)</f>
        <v>-7.0512820512820526E-2</v>
      </c>
      <c r="E24" s="22">
        <f t="shared" si="5"/>
        <v>-0.17788461538461539</v>
      </c>
      <c r="F24" s="22">
        <f t="shared" si="5"/>
        <v>5.2884615384615391E-2</v>
      </c>
      <c r="G24" s="20"/>
      <c r="I24"/>
      <c r="J24"/>
      <c r="K24"/>
    </row>
    <row r="25" spans="2:14" x14ac:dyDescent="0.3">
      <c r="I25"/>
      <c r="J25"/>
      <c r="K25"/>
    </row>
    <row r="26" spans="2:14" x14ac:dyDescent="0.3">
      <c r="I26"/>
      <c r="J26"/>
      <c r="K26"/>
    </row>
  </sheetData>
  <pageMargins left="0.7" right="0.7" top="0.75" bottom="0.75" header="0.3" footer="0.3"/>
  <pageSetup orientation="portrait" r:id="rId1"/>
  <ignoredErrors>
    <ignoredError sqref="C1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771B0-9808-4E1C-84D5-64033C7775B0}">
  <sheetPr codeName="Sheet3"/>
  <dimension ref="A1:AC238"/>
  <sheetViews>
    <sheetView topLeftCell="A219" workbookViewId="0">
      <selection activeCell="B235" sqref="B235"/>
    </sheetView>
  </sheetViews>
  <sheetFormatPr defaultRowHeight="14.4" x14ac:dyDescent="0.3"/>
  <cols>
    <col min="1" max="1" width="10.5546875" customWidth="1"/>
    <col min="2" max="2" width="74.44140625" bestFit="1" customWidth="1"/>
    <col min="3" max="3" width="15.6640625" bestFit="1" customWidth="1"/>
    <col min="4" max="4" width="10.5546875" style="24" bestFit="1" customWidth="1"/>
    <col min="5" max="5" width="10.6640625" bestFit="1" customWidth="1"/>
    <col min="6" max="6" width="7.5546875" style="12" bestFit="1" customWidth="1"/>
    <col min="7" max="22" width="8.6640625" style="12"/>
  </cols>
  <sheetData>
    <row r="1" spans="1:29" s="1" customFormat="1" ht="16.2" thickBot="1" x14ac:dyDescent="0.35">
      <c r="A1" s="7" t="s">
        <v>27</v>
      </c>
      <c r="B1" s="8" t="s">
        <v>26</v>
      </c>
      <c r="C1" s="3" t="s">
        <v>516</v>
      </c>
      <c r="D1" s="30" t="s">
        <v>175</v>
      </c>
      <c r="E1" s="4" t="s">
        <v>173</v>
      </c>
      <c r="F1" s="10" t="s">
        <v>172</v>
      </c>
      <c r="G1" s="10" t="s">
        <v>159</v>
      </c>
      <c r="H1" s="10" t="s">
        <v>163</v>
      </c>
      <c r="I1" s="10" t="s">
        <v>167</v>
      </c>
      <c r="J1" s="10" t="s">
        <v>171</v>
      </c>
      <c r="K1" s="10" t="s">
        <v>156</v>
      </c>
      <c r="L1" s="10" t="s">
        <v>157</v>
      </c>
      <c r="M1" s="10" t="s">
        <v>158</v>
      </c>
      <c r="N1" s="10" t="s">
        <v>160</v>
      </c>
      <c r="O1" s="10" t="s">
        <v>161</v>
      </c>
      <c r="P1" s="10" t="s">
        <v>162</v>
      </c>
      <c r="Q1" s="10" t="s">
        <v>164</v>
      </c>
      <c r="R1" s="10" t="s">
        <v>165</v>
      </c>
      <c r="S1" s="10" t="s">
        <v>166</v>
      </c>
      <c r="T1" s="10" t="s">
        <v>168</v>
      </c>
      <c r="U1" s="10" t="s">
        <v>169</v>
      </c>
      <c r="V1" s="10" t="s">
        <v>170</v>
      </c>
    </row>
    <row r="2" spans="1:29" ht="15.6" thickTop="1" thickBot="1" x14ac:dyDescent="0.35">
      <c r="A2" s="13">
        <v>8059100</v>
      </c>
      <c r="B2" s="6" t="s">
        <v>496</v>
      </c>
      <c r="C2" t="s">
        <v>13</v>
      </c>
      <c r="D2" s="24" t="s">
        <v>13</v>
      </c>
      <c r="E2" s="24" t="s">
        <v>13</v>
      </c>
    </row>
    <row r="3" spans="1:29" ht="15.6" thickTop="1" thickBot="1" x14ac:dyDescent="0.35">
      <c r="A3" s="13">
        <v>8008400</v>
      </c>
      <c r="B3" s="6" t="s">
        <v>40</v>
      </c>
      <c r="C3" s="49" t="s">
        <v>502</v>
      </c>
      <c r="D3" s="23">
        <v>45841</v>
      </c>
      <c r="E3" s="32">
        <v>0.53125</v>
      </c>
      <c r="F3" s="12">
        <v>5.7799999999999997E-2</v>
      </c>
      <c r="G3" s="12">
        <v>3.8600000000000002E-2</v>
      </c>
      <c r="H3" s="12">
        <v>0.1326</v>
      </c>
      <c r="I3" s="12">
        <v>2.2700000000000001E-2</v>
      </c>
      <c r="J3" s="12">
        <v>-1.0699999999999999E-2</v>
      </c>
      <c r="K3" s="12">
        <v>2.6700000000000002E-2</v>
      </c>
      <c r="L3" s="12">
        <v>-1.61E-2</v>
      </c>
      <c r="M3" s="12">
        <v>0.4</v>
      </c>
      <c r="N3" s="12">
        <v>0</v>
      </c>
      <c r="O3" s="12">
        <v>0.1075</v>
      </c>
      <c r="P3" s="12">
        <v>0.32</v>
      </c>
      <c r="Q3" s="12">
        <v>0</v>
      </c>
      <c r="R3" s="12">
        <v>0</v>
      </c>
      <c r="S3" s="12">
        <v>0.1</v>
      </c>
      <c r="T3" s="12">
        <v>-2.8199999999999999E-2</v>
      </c>
      <c r="U3" s="12">
        <v>-4.65E-2</v>
      </c>
      <c r="V3" s="12">
        <v>2.7400000000000001E-2</v>
      </c>
      <c r="Y3" t="s">
        <v>540</v>
      </c>
      <c r="AA3" s="31" t="s">
        <v>556</v>
      </c>
      <c r="AB3" s="31"/>
    </row>
    <row r="4" spans="1:29" ht="15.6" thickTop="1" thickBot="1" x14ac:dyDescent="0.35">
      <c r="A4" s="13">
        <v>8018400</v>
      </c>
      <c r="B4" s="6" t="s">
        <v>192</v>
      </c>
      <c r="C4" s="49" t="s">
        <v>502</v>
      </c>
      <c r="D4" s="23">
        <v>45841</v>
      </c>
      <c r="E4" s="32">
        <v>0.53125</v>
      </c>
      <c r="F4" s="12">
        <v>-0.1641</v>
      </c>
      <c r="G4" s="12">
        <v>-6.1499999999999999E-2</v>
      </c>
      <c r="H4" s="12">
        <v>-2.69E-2</v>
      </c>
      <c r="I4" s="12">
        <v>-0.52629999999999999</v>
      </c>
      <c r="J4" s="12">
        <v>-0.51080000000000003</v>
      </c>
      <c r="K4" s="12">
        <v>-6.4500000000000002E-2</v>
      </c>
      <c r="L4" s="12">
        <v>3.1699999999999999E-2</v>
      </c>
      <c r="M4" s="12">
        <v>-2</v>
      </c>
      <c r="N4" s="12">
        <v>7.1400000000000005E-2</v>
      </c>
      <c r="O4" s="12">
        <v>-5.8799999999999998E-2</v>
      </c>
      <c r="P4" s="12">
        <v>0.08</v>
      </c>
      <c r="Q4" s="12">
        <v>0</v>
      </c>
      <c r="R4" s="12">
        <v>0</v>
      </c>
      <c r="S4" s="12">
        <v>-2</v>
      </c>
      <c r="T4" s="12">
        <v>8.8900000000000007E-2</v>
      </c>
      <c r="U4" s="12">
        <v>0.1081</v>
      </c>
      <c r="V4" s="12">
        <v>-2</v>
      </c>
      <c r="Y4" t="s">
        <v>540</v>
      </c>
      <c r="AA4" s="31" t="s">
        <v>556</v>
      </c>
      <c r="AB4" s="31"/>
    </row>
    <row r="5" spans="1:29" ht="15.6" thickTop="1" thickBot="1" x14ac:dyDescent="0.35">
      <c r="A5" s="13">
        <v>8044600</v>
      </c>
      <c r="B5" s="6" t="s">
        <v>110</v>
      </c>
      <c r="C5" s="49" t="s">
        <v>502</v>
      </c>
      <c r="D5" s="23">
        <v>45845</v>
      </c>
      <c r="E5" s="32">
        <v>0.53125</v>
      </c>
      <c r="F5" s="12">
        <v>-1.0699999999999999E-2</v>
      </c>
      <c r="G5" s="12">
        <v>1.1900000000000001E-2</v>
      </c>
      <c r="H5" s="12">
        <v>-3.7100000000000001E-2</v>
      </c>
      <c r="I5" s="12">
        <v>0.1053</v>
      </c>
      <c r="J5" s="12">
        <v>-0.1111</v>
      </c>
      <c r="K5" s="12">
        <v>0</v>
      </c>
      <c r="L5" s="12">
        <v>-4.4000000000000003E-3</v>
      </c>
      <c r="M5" s="12">
        <v>0.36359999999999998</v>
      </c>
      <c r="N5" s="12">
        <v>0</v>
      </c>
      <c r="O5" s="12">
        <v>-4.2299999999999997E-2</v>
      </c>
      <c r="P5" s="12">
        <v>0</v>
      </c>
      <c r="Q5" s="12">
        <v>0.1176</v>
      </c>
      <c r="R5" s="12">
        <v>0</v>
      </c>
      <c r="S5" s="12">
        <v>0</v>
      </c>
      <c r="T5" s="12">
        <v>0</v>
      </c>
      <c r="U5" s="12">
        <v>0</v>
      </c>
      <c r="V5" s="12">
        <v>-0.25</v>
      </c>
      <c r="Y5" t="s">
        <v>540</v>
      </c>
      <c r="AA5" s="31" t="s">
        <v>556</v>
      </c>
      <c r="AB5" s="31"/>
    </row>
    <row r="6" spans="1:29" ht="15.6" thickTop="1" thickBot="1" x14ac:dyDescent="0.35">
      <c r="A6" s="13">
        <v>8022400</v>
      </c>
      <c r="B6" s="6" t="s">
        <v>62</v>
      </c>
      <c r="C6" s="49" t="s">
        <v>502</v>
      </c>
      <c r="D6" s="23">
        <v>45845</v>
      </c>
      <c r="E6" s="32">
        <v>0.625</v>
      </c>
      <c r="F6" s="12">
        <v>-0.27139999999999997</v>
      </c>
      <c r="G6" s="12">
        <v>-1.12E-2</v>
      </c>
      <c r="H6" s="12">
        <v>-0.30769999999999997</v>
      </c>
      <c r="I6" s="12">
        <v>-1.5556000000000001</v>
      </c>
      <c r="J6" s="12">
        <v>9.5200000000000007E-2</v>
      </c>
      <c r="K6" s="12">
        <v>0</v>
      </c>
      <c r="L6" s="12">
        <v>-1.1599999999999999E-2</v>
      </c>
      <c r="M6" s="12">
        <v>0</v>
      </c>
      <c r="N6" s="12">
        <v>-0.8</v>
      </c>
      <c r="O6" s="12">
        <v>-0.27689999999999998</v>
      </c>
      <c r="P6" s="12">
        <v>-2</v>
      </c>
      <c r="Q6" s="12">
        <v>-1.9258999999999999</v>
      </c>
      <c r="R6" s="12">
        <v>-0.66669999999999996</v>
      </c>
      <c r="S6" s="12">
        <v>-1.3332999999999999</v>
      </c>
      <c r="T6" s="12">
        <v>0.1333</v>
      </c>
      <c r="U6" s="12">
        <v>0.1053</v>
      </c>
      <c r="V6" s="12">
        <v>0</v>
      </c>
      <c r="Y6" t="s">
        <v>540</v>
      </c>
      <c r="AA6" s="31" t="s">
        <v>556</v>
      </c>
      <c r="AB6" s="31"/>
    </row>
    <row r="7" spans="1:29" ht="15.6" thickTop="1" thickBot="1" x14ac:dyDescent="0.35">
      <c r="A7" s="13">
        <v>8052100</v>
      </c>
      <c r="B7" s="6" t="s">
        <v>233</v>
      </c>
      <c r="C7" s="50" t="s">
        <v>502</v>
      </c>
      <c r="D7" s="23">
        <v>45839</v>
      </c>
      <c r="E7" s="32">
        <v>0.625</v>
      </c>
      <c r="F7" s="42">
        <v>-0.12470000000000001</v>
      </c>
      <c r="G7" s="42">
        <v>-0.186</v>
      </c>
      <c r="H7" s="42">
        <v>-0.05</v>
      </c>
      <c r="I7" s="42">
        <v>0</v>
      </c>
      <c r="J7" s="42">
        <v>-0.08</v>
      </c>
      <c r="K7" s="12">
        <v>0</v>
      </c>
      <c r="L7" s="12">
        <v>-0.13450000000000001</v>
      </c>
      <c r="M7" s="12">
        <v>-1</v>
      </c>
      <c r="N7" s="12">
        <v>-0.22220000000000001</v>
      </c>
      <c r="O7" s="12">
        <v>-8.4500000000000006E-2</v>
      </c>
      <c r="P7" s="12">
        <v>0.66669999999999996</v>
      </c>
      <c r="Q7" s="12">
        <v>0</v>
      </c>
      <c r="R7" s="12">
        <v>0</v>
      </c>
      <c r="S7" s="12">
        <v>0</v>
      </c>
      <c r="T7" s="12">
        <v>-0.1176</v>
      </c>
      <c r="U7" s="12">
        <v>2</v>
      </c>
      <c r="V7" s="12">
        <v>-0.28570000000000001</v>
      </c>
      <c r="Y7" t="s">
        <v>529</v>
      </c>
      <c r="AA7" s="31" t="s">
        <v>524</v>
      </c>
      <c r="AB7" s="31"/>
    </row>
    <row r="8" spans="1:29" ht="15.6" thickTop="1" thickBot="1" x14ac:dyDescent="0.35">
      <c r="A8" s="13">
        <v>8037200</v>
      </c>
      <c r="B8" s="6" t="s">
        <v>209</v>
      </c>
      <c r="C8" s="49" t="s">
        <v>502</v>
      </c>
      <c r="D8" s="23">
        <v>46015</v>
      </c>
      <c r="E8" s="32">
        <v>0.3125</v>
      </c>
      <c r="F8" s="42">
        <v>-0.1023</v>
      </c>
      <c r="G8" s="12">
        <v>5.8799999999999998E-2</v>
      </c>
      <c r="H8" s="12">
        <v>4.65E-2</v>
      </c>
      <c r="I8" s="12">
        <v>-0.1091</v>
      </c>
      <c r="J8" s="12">
        <v>-0.44900000000000001</v>
      </c>
      <c r="K8" s="12">
        <v>0.24</v>
      </c>
      <c r="L8" s="12">
        <v>-5.1299999999999998E-2</v>
      </c>
      <c r="M8" s="12">
        <v>0</v>
      </c>
      <c r="N8" s="12">
        <v>0</v>
      </c>
      <c r="O8" s="12">
        <v>0.28570000000000001</v>
      </c>
      <c r="P8" s="12">
        <v>-0.18179999999999999</v>
      </c>
      <c r="Q8" s="12">
        <v>-0.4</v>
      </c>
      <c r="R8" s="12">
        <v>4.4400000000000002E-2</v>
      </c>
      <c r="S8" s="12">
        <v>-1.2</v>
      </c>
      <c r="T8" s="12">
        <v>-0.37040000000000001</v>
      </c>
      <c r="U8" s="12">
        <v>-0.66669999999999996</v>
      </c>
      <c r="V8" s="12">
        <v>0</v>
      </c>
      <c r="Y8" t="s">
        <v>531</v>
      </c>
      <c r="AA8" s="31" t="s">
        <v>524</v>
      </c>
      <c r="AB8" s="31"/>
    </row>
    <row r="9" spans="1:29" ht="15.6" thickTop="1" thickBot="1" x14ac:dyDescent="0.35">
      <c r="A9" s="13">
        <v>8057300</v>
      </c>
      <c r="B9" s="6" t="s">
        <v>141</v>
      </c>
      <c r="C9" s="49" t="s">
        <v>502</v>
      </c>
      <c r="D9" s="23">
        <v>46015</v>
      </c>
      <c r="E9" s="32">
        <v>0.33333333333333331</v>
      </c>
      <c r="F9" s="12">
        <v>0.30399999999999999</v>
      </c>
      <c r="G9" s="12">
        <v>0.57779999999999998</v>
      </c>
      <c r="H9" s="12">
        <v>0.37590000000000001</v>
      </c>
      <c r="I9" s="12">
        <v>6.1499999999999999E-2</v>
      </c>
      <c r="J9" s="12">
        <v>0.2727</v>
      </c>
      <c r="K9" s="12">
        <v>-0.08</v>
      </c>
      <c r="L9" s="54">
        <v>0.71699999999999997</v>
      </c>
      <c r="M9" s="54">
        <v>1.3332999999999999</v>
      </c>
      <c r="N9" s="54">
        <v>0.1333</v>
      </c>
      <c r="O9" s="54">
        <v>0.6341</v>
      </c>
      <c r="P9" s="54">
        <v>-0.1111</v>
      </c>
      <c r="Q9" s="55">
        <v>0</v>
      </c>
      <c r="R9" s="56">
        <v>7.8399999999999997E-2</v>
      </c>
      <c r="S9" s="55">
        <v>0</v>
      </c>
      <c r="T9" s="56">
        <v>-8.6999999999999994E-2</v>
      </c>
      <c r="U9" s="54">
        <v>0.47270000000000001</v>
      </c>
      <c r="V9" s="55">
        <v>0</v>
      </c>
      <c r="Y9" t="s">
        <v>531</v>
      </c>
      <c r="AA9" s="31" t="s">
        <v>524</v>
      </c>
      <c r="AB9" s="31"/>
    </row>
    <row r="10" spans="1:29" ht="15.6" thickTop="1" thickBot="1" x14ac:dyDescent="0.35">
      <c r="A10" s="13">
        <v>8051400</v>
      </c>
      <c r="B10" s="6" t="s">
        <v>229</v>
      </c>
      <c r="C10" s="49" t="s">
        <v>502</v>
      </c>
      <c r="D10" s="23">
        <v>46020</v>
      </c>
      <c r="E10" s="32">
        <v>0.34375</v>
      </c>
      <c r="F10" s="12">
        <v>9.9500000000000005E-2</v>
      </c>
      <c r="G10" s="12">
        <v>0.1474</v>
      </c>
      <c r="H10" s="12">
        <v>0.13789999999999999</v>
      </c>
      <c r="I10" s="12">
        <v>0</v>
      </c>
      <c r="J10" s="12">
        <v>0</v>
      </c>
      <c r="K10" s="12">
        <v>0.21049999999999999</v>
      </c>
      <c r="L10" s="12">
        <v>0.12239999999999999</v>
      </c>
      <c r="M10" s="12">
        <v>0</v>
      </c>
      <c r="N10" s="12">
        <v>-2</v>
      </c>
      <c r="O10" s="12">
        <v>0.15379999999999999</v>
      </c>
      <c r="P10" s="12">
        <v>0.19350000000000001</v>
      </c>
      <c r="Q10" s="12">
        <v>0</v>
      </c>
      <c r="R10" s="12">
        <v>0</v>
      </c>
      <c r="S10" s="12">
        <v>0</v>
      </c>
      <c r="T10" s="12">
        <v>-0.25</v>
      </c>
      <c r="U10" s="12">
        <v>0.22220000000000001</v>
      </c>
      <c r="V10" s="12">
        <v>0.28570000000000001</v>
      </c>
      <c r="Y10" t="s">
        <v>541</v>
      </c>
      <c r="AA10" s="31" t="s">
        <v>556</v>
      </c>
      <c r="AB10" s="31"/>
    </row>
    <row r="11" spans="1:29" ht="13.95" customHeight="1" thickTop="1" thickBot="1" x14ac:dyDescent="0.35">
      <c r="A11" s="13">
        <v>8037400</v>
      </c>
      <c r="B11" s="6" t="s">
        <v>211</v>
      </c>
      <c r="C11" s="49" t="s">
        <v>502</v>
      </c>
      <c r="D11" s="23">
        <v>45814</v>
      </c>
      <c r="E11" s="32">
        <v>0.32291666666666669</v>
      </c>
      <c r="F11" s="12">
        <v>-4.1999999999999997E-3</v>
      </c>
      <c r="G11" s="12">
        <v>1.6899999999999998E-2</v>
      </c>
      <c r="H11" s="12">
        <v>-2.7400000000000001E-2</v>
      </c>
      <c r="I11" s="12">
        <v>0</v>
      </c>
      <c r="J11" s="12">
        <v>0</v>
      </c>
      <c r="K11" s="12">
        <v>0</v>
      </c>
      <c r="L11" s="12">
        <v>-3.6999999999999998E-2</v>
      </c>
      <c r="M11" s="12">
        <v>0.75</v>
      </c>
      <c r="N11" s="12">
        <v>0.1053</v>
      </c>
      <c r="O11" s="12">
        <v>-5.4100000000000002E-2</v>
      </c>
      <c r="P11" s="12">
        <v>0.1333</v>
      </c>
      <c r="Q11" s="12">
        <v>0</v>
      </c>
      <c r="R11" s="12">
        <v>0</v>
      </c>
      <c r="S11" s="12">
        <v>0</v>
      </c>
      <c r="T11" s="12">
        <v>-1.3332999999999999</v>
      </c>
      <c r="U11" s="12">
        <v>2</v>
      </c>
      <c r="V11" s="12">
        <v>0</v>
      </c>
      <c r="Y11" t="s">
        <v>529</v>
      </c>
      <c r="AA11" s="31" t="s">
        <v>557</v>
      </c>
      <c r="AB11" s="31" t="s">
        <v>558</v>
      </c>
    </row>
    <row r="12" spans="1:29" ht="15.6" thickTop="1" thickBot="1" x14ac:dyDescent="0.35">
      <c r="A12" s="13">
        <v>8037300</v>
      </c>
      <c r="B12" s="6" t="s">
        <v>210</v>
      </c>
      <c r="C12" s="49" t="s">
        <v>502</v>
      </c>
      <c r="D12" s="23">
        <v>46021</v>
      </c>
      <c r="E12" s="32">
        <v>0.35416666666666669</v>
      </c>
      <c r="F12" s="12">
        <v>-4.4999999999999997E-3</v>
      </c>
      <c r="G12" s="12">
        <v>1.6299999999999999E-2</v>
      </c>
      <c r="H12" s="12">
        <v>-2.1100000000000001E-2</v>
      </c>
      <c r="I12" s="12">
        <v>1.9800000000000002E-2</v>
      </c>
      <c r="J12" s="12">
        <v>-6.4500000000000002E-2</v>
      </c>
      <c r="K12" s="12">
        <v>0</v>
      </c>
      <c r="L12" s="12">
        <v>2.06E-2</v>
      </c>
      <c r="M12" s="12">
        <v>0</v>
      </c>
      <c r="N12" s="12">
        <v>0.66669999999999996</v>
      </c>
      <c r="O12" s="12">
        <v>-3.8699999999999998E-2</v>
      </c>
      <c r="P12" s="12">
        <v>0</v>
      </c>
      <c r="Q12" s="12">
        <v>0</v>
      </c>
      <c r="R12" s="12">
        <v>0</v>
      </c>
      <c r="S12" s="12">
        <v>8.6999999999999994E-2</v>
      </c>
      <c r="T12" s="12">
        <v>-0.18179999999999999</v>
      </c>
      <c r="U12" s="12">
        <v>0</v>
      </c>
      <c r="V12" s="12">
        <v>0</v>
      </c>
      <c r="W12" s="12"/>
      <c r="Y12" t="s">
        <v>541</v>
      </c>
      <c r="AA12" s="31" t="s">
        <v>556</v>
      </c>
      <c r="AB12" s="31"/>
    </row>
    <row r="13" spans="1:29" ht="15.6" thickTop="1" thickBot="1" x14ac:dyDescent="0.35">
      <c r="A13" s="13">
        <v>8048500</v>
      </c>
      <c r="B13" s="6" t="s">
        <v>220</v>
      </c>
      <c r="C13" s="49" t="s">
        <v>502</v>
      </c>
      <c r="D13" s="23">
        <v>46021</v>
      </c>
      <c r="E13" s="32">
        <v>0.63541666666666663</v>
      </c>
      <c r="F13" s="12">
        <v>-0.46150000000000002</v>
      </c>
      <c r="G13" s="12">
        <v>3.8199999999999998E-2</v>
      </c>
      <c r="H13" s="12">
        <v>-0.86670000000000003</v>
      </c>
      <c r="I13" s="12">
        <v>-1.7333000000000001</v>
      </c>
      <c r="J13" s="12">
        <v>-0.78790000000000004</v>
      </c>
      <c r="K13" s="12">
        <v>-0.35289999999999999</v>
      </c>
      <c r="L13" s="12">
        <v>0.1159</v>
      </c>
      <c r="M13" s="12">
        <v>-2</v>
      </c>
      <c r="N13" s="12">
        <v>-0.28570000000000001</v>
      </c>
      <c r="O13" s="12">
        <v>-0.88290000000000002</v>
      </c>
      <c r="P13" s="12">
        <v>-2</v>
      </c>
      <c r="Q13" s="12">
        <v>-2</v>
      </c>
      <c r="R13" s="12">
        <v>-1.4286000000000001</v>
      </c>
      <c r="S13" s="12">
        <v>-2</v>
      </c>
      <c r="T13" s="12">
        <v>-2</v>
      </c>
      <c r="U13" s="12">
        <v>-0.66669999999999996</v>
      </c>
      <c r="V13" s="12">
        <v>-0.4</v>
      </c>
      <c r="Y13" t="s">
        <v>561</v>
      </c>
      <c r="Z13" s="31"/>
      <c r="AA13" s="31"/>
      <c r="AB13" s="31"/>
    </row>
    <row r="14" spans="1:29" ht="15.6" thickTop="1" thickBot="1" x14ac:dyDescent="0.35">
      <c r="A14" s="13">
        <v>8052000</v>
      </c>
      <c r="B14" s="6" t="s">
        <v>232</v>
      </c>
      <c r="C14" s="49" t="s">
        <v>560</v>
      </c>
      <c r="D14" s="23">
        <v>46022</v>
      </c>
      <c r="E14" s="32">
        <v>0.35416666666666669</v>
      </c>
      <c r="F14" s="12">
        <v>9.2299999999999993E-2</v>
      </c>
      <c r="G14" s="12">
        <v>0.08</v>
      </c>
      <c r="H14" s="12">
        <v>0.1091</v>
      </c>
      <c r="I14" s="12">
        <v>0</v>
      </c>
      <c r="J14" s="12">
        <v>0</v>
      </c>
      <c r="K14" s="12">
        <v>0</v>
      </c>
      <c r="L14" s="12">
        <v>5.4100000000000002E-2</v>
      </c>
      <c r="M14" s="12">
        <v>0</v>
      </c>
      <c r="N14" s="12">
        <v>0</v>
      </c>
      <c r="O14" s="12">
        <v>0.1176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Y14" t="s">
        <v>540</v>
      </c>
      <c r="AA14" s="31" t="s">
        <v>562</v>
      </c>
      <c r="AB14" s="31"/>
      <c r="AC14" s="31"/>
    </row>
    <row r="15" spans="1:29" ht="15.6" thickTop="1" thickBot="1" x14ac:dyDescent="0.35">
      <c r="A15" s="13">
        <v>8015500</v>
      </c>
      <c r="B15" s="6" t="s">
        <v>4</v>
      </c>
      <c r="C15" s="50" t="s">
        <v>502</v>
      </c>
      <c r="D15" s="23">
        <v>45295</v>
      </c>
      <c r="E15" s="5" t="s">
        <v>177</v>
      </c>
      <c r="F15" s="11">
        <v>-2.8809704321455649E-2</v>
      </c>
      <c r="G15" s="11">
        <v>-3.9138943248532287E-3</v>
      </c>
      <c r="H15" s="11">
        <v>-2.0066889632107024E-2</v>
      </c>
      <c r="I15" s="11">
        <v>-0.12903225806451613</v>
      </c>
      <c r="J15" s="11">
        <v>-1.7291066282420751E-2</v>
      </c>
      <c r="K15" s="11">
        <v>-2.8169014084507043E-2</v>
      </c>
      <c r="L15" s="11">
        <v>1.5544041450777202E-2</v>
      </c>
      <c r="M15" s="11">
        <v>-7.8212290502793297E-2</v>
      </c>
      <c r="N15" s="11">
        <v>-2.4691358024691357E-2</v>
      </c>
      <c r="O15" s="11">
        <v>-2.6200873362445413E-2</v>
      </c>
      <c r="P15" s="11">
        <v>1.5503875968992248E-2</v>
      </c>
      <c r="Q15" s="11">
        <v>-0.4</v>
      </c>
      <c r="R15" s="11">
        <v>-0.70085470085470081</v>
      </c>
      <c r="S15" s="11">
        <v>0.45</v>
      </c>
      <c r="T15" s="11">
        <v>-6.8965517241379309E-2</v>
      </c>
      <c r="U15" s="11">
        <v>0</v>
      </c>
      <c r="V15" s="11">
        <v>0</v>
      </c>
    </row>
    <row r="16" spans="1:29" ht="13.95" customHeight="1" thickTop="1" thickBot="1" x14ac:dyDescent="0.35">
      <c r="A16" s="13">
        <v>8025600</v>
      </c>
      <c r="B16" s="6" t="s">
        <v>69</v>
      </c>
      <c r="C16" s="49" t="s">
        <v>502</v>
      </c>
      <c r="D16" s="23">
        <v>46035</v>
      </c>
      <c r="E16" s="32">
        <v>0.35416666666666669</v>
      </c>
      <c r="F16" s="12">
        <v>-1.3100000000000001E-2</v>
      </c>
      <c r="G16" s="12">
        <v>1.44E-2</v>
      </c>
      <c r="H16" s="12">
        <v>-8.2600000000000007E-2</v>
      </c>
      <c r="I16" s="12">
        <v>0</v>
      </c>
      <c r="J16" s="12">
        <v>6.1999999999999998E-3</v>
      </c>
      <c r="K16" s="12">
        <v>-0.1053</v>
      </c>
      <c r="L16" s="12">
        <v>2.5999999999999999E-2</v>
      </c>
      <c r="M16" s="12">
        <v>-4.65E-2</v>
      </c>
      <c r="N16" s="12">
        <v>-0.18179999999999999</v>
      </c>
      <c r="O16" s="12">
        <v>-6.25E-2</v>
      </c>
      <c r="P16" s="12">
        <v>-8.6999999999999994E-2</v>
      </c>
      <c r="Q16" s="12">
        <v>0.2069</v>
      </c>
      <c r="R16" s="12">
        <v>-5.9700000000000003E-2</v>
      </c>
      <c r="S16" s="12">
        <v>9.5200000000000007E-2</v>
      </c>
      <c r="T16" s="12">
        <v>-3.6400000000000002E-2</v>
      </c>
      <c r="U16" s="12">
        <v>0</v>
      </c>
      <c r="V16" s="12">
        <v>0.1176</v>
      </c>
      <c r="Y16" t="s">
        <v>540</v>
      </c>
      <c r="AA16" s="31" t="s">
        <v>556</v>
      </c>
      <c r="AB16" s="31" t="s">
        <v>556</v>
      </c>
    </row>
    <row r="17" spans="1:28" ht="15.6" thickTop="1" thickBot="1" x14ac:dyDescent="0.35">
      <c r="A17" s="13">
        <v>8043800</v>
      </c>
      <c r="B17" s="6" t="s">
        <v>12</v>
      </c>
      <c r="C17" s="50" t="s">
        <v>497</v>
      </c>
      <c r="D17" s="23">
        <v>45314</v>
      </c>
      <c r="E17" t="s">
        <v>176</v>
      </c>
      <c r="F17" s="11">
        <v>-4.3234587670136111E-2</v>
      </c>
      <c r="G17" s="11">
        <v>-4.71253534401508E-2</v>
      </c>
      <c r="H17" s="11" t="s">
        <v>178</v>
      </c>
      <c r="I17" s="11">
        <v>-7.6923076923076927E-2</v>
      </c>
      <c r="J17" s="11">
        <v>4.7619047619047616E-2</v>
      </c>
      <c r="K17" s="11">
        <v>-3.5714285714285712E-2</v>
      </c>
      <c r="L17" s="11">
        <v>-3.0696576151121605E-2</v>
      </c>
      <c r="M17" s="11">
        <v>-0.19607843137254902</v>
      </c>
      <c r="N17" s="11" t="s">
        <v>178</v>
      </c>
      <c r="O17" s="11" t="s">
        <v>178</v>
      </c>
      <c r="P17" s="11" t="s">
        <v>178</v>
      </c>
      <c r="Q17" s="11">
        <v>-0.15384615384615385</v>
      </c>
      <c r="R17" s="11">
        <v>1.4285714285714286</v>
      </c>
      <c r="S17" s="11">
        <v>-0.22222222222222221</v>
      </c>
      <c r="T17" s="11">
        <v>0</v>
      </c>
      <c r="U17" s="11">
        <v>0</v>
      </c>
      <c r="V17" s="11">
        <v>6.25E-2</v>
      </c>
    </row>
    <row r="18" spans="1:28" ht="15.6" thickTop="1" thickBot="1" x14ac:dyDescent="0.35">
      <c r="A18" s="13">
        <v>8013100</v>
      </c>
      <c r="B18" s="6" t="s">
        <v>14</v>
      </c>
      <c r="C18" s="49" t="s">
        <v>497</v>
      </c>
      <c r="D18" s="23">
        <v>45357</v>
      </c>
      <c r="E18" t="s">
        <v>176</v>
      </c>
      <c r="F18" s="11">
        <v>-0.15669099756690996</v>
      </c>
      <c r="G18" s="11">
        <v>-7.1047957371225573E-2</v>
      </c>
      <c r="H18" s="11">
        <v>-0.30747531734837802</v>
      </c>
      <c r="I18" s="11">
        <v>-0.19444444444444445</v>
      </c>
      <c r="J18" s="11">
        <v>5.2631578947368418E-2</v>
      </c>
      <c r="K18" s="11">
        <v>0.12903225806451613</v>
      </c>
      <c r="L18" s="11">
        <v>-9.419496166484119E-2</v>
      </c>
      <c r="M18" s="11">
        <v>-1.3245033112582781E-2</v>
      </c>
      <c r="N18" s="11">
        <v>-9.9290780141843976E-2</v>
      </c>
      <c r="O18" s="11">
        <v>-0.34704830053667263</v>
      </c>
      <c r="P18" s="11">
        <v>-1.1111111111111112</v>
      </c>
      <c r="Q18" s="11">
        <v>8.5106382978723402E-2</v>
      </c>
      <c r="R18" s="11">
        <v>-1</v>
      </c>
      <c r="S18" s="11">
        <v>-0.66666666666666663</v>
      </c>
      <c r="T18" s="11">
        <v>0</v>
      </c>
      <c r="U18" s="11">
        <v>8.6956521739130432E-2</v>
      </c>
      <c r="V18" s="11">
        <v>4.4444444444444446E-2</v>
      </c>
    </row>
    <row r="19" spans="1:28" ht="15.6" thickTop="1" thickBot="1" x14ac:dyDescent="0.35">
      <c r="A19" s="13">
        <v>8038800</v>
      </c>
      <c r="B19" s="6" t="s">
        <v>100</v>
      </c>
      <c r="C19" s="49" t="s">
        <v>502</v>
      </c>
      <c r="D19" s="23">
        <v>45845</v>
      </c>
      <c r="E19" s="32">
        <v>0.32291666666666669</v>
      </c>
      <c r="F19" s="12">
        <v>-9.2600000000000002E-2</v>
      </c>
      <c r="G19" s="12">
        <v>-1.8200000000000001E-2</v>
      </c>
      <c r="H19" s="12">
        <v>-0.1472</v>
      </c>
      <c r="I19" s="12">
        <v>-0.16389999999999999</v>
      </c>
      <c r="J19" s="12">
        <v>-0.48280000000000001</v>
      </c>
      <c r="K19" s="12">
        <v>0</v>
      </c>
      <c r="L19" s="12">
        <v>-1.6500000000000001E-2</v>
      </c>
      <c r="M19" s="12">
        <v>-5.4100000000000002E-2</v>
      </c>
      <c r="N19" s="12">
        <v>-6.25E-2</v>
      </c>
      <c r="O19" s="12">
        <v>-7.7700000000000005E-2</v>
      </c>
      <c r="P19" s="12">
        <v>-0.36520000000000002</v>
      </c>
      <c r="Q19" s="12">
        <v>0</v>
      </c>
      <c r="R19" s="12">
        <v>0</v>
      </c>
      <c r="S19" s="12">
        <v>-0.2041</v>
      </c>
      <c r="T19" s="12">
        <v>-0.66669999999999996</v>
      </c>
      <c r="U19" s="12">
        <v>2</v>
      </c>
      <c r="V19" s="12">
        <v>0</v>
      </c>
      <c r="Y19" t="s">
        <v>540</v>
      </c>
      <c r="AA19" s="31" t="s">
        <v>556</v>
      </c>
      <c r="AB19" s="31"/>
    </row>
    <row r="20" spans="1:28" ht="15.6" thickTop="1" thickBot="1" x14ac:dyDescent="0.35">
      <c r="A20" s="13">
        <v>8021000</v>
      </c>
      <c r="B20" s="6" t="s">
        <v>58</v>
      </c>
      <c r="C20" s="49" t="s">
        <v>502</v>
      </c>
      <c r="D20" s="23">
        <v>46034</v>
      </c>
      <c r="E20" s="32">
        <v>0.625</v>
      </c>
      <c r="F20" s="12">
        <v>-0.73540000000000005</v>
      </c>
      <c r="G20" s="12">
        <v>-0.23530000000000001</v>
      </c>
      <c r="H20" s="12">
        <v>-1.2621</v>
      </c>
      <c r="I20" s="12">
        <v>0</v>
      </c>
      <c r="J20" s="12">
        <v>-0.58819999999999995</v>
      </c>
      <c r="K20" s="12">
        <v>-0.15379999999999999</v>
      </c>
      <c r="L20" s="12">
        <v>-0.24079999999999999</v>
      </c>
      <c r="M20" s="12">
        <v>0</v>
      </c>
      <c r="N20" s="12">
        <v>0</v>
      </c>
      <c r="O20" s="12">
        <v>-1.2621</v>
      </c>
      <c r="P20" s="12">
        <v>0</v>
      </c>
      <c r="Q20" s="12">
        <v>0</v>
      </c>
      <c r="R20" s="12">
        <v>0</v>
      </c>
      <c r="S20" s="12">
        <v>0</v>
      </c>
      <c r="T20" s="12">
        <v>-0.66669999999999996</v>
      </c>
      <c r="U20" s="12">
        <v>0</v>
      </c>
      <c r="V20" s="12">
        <v>-0.57140000000000002</v>
      </c>
      <c r="Y20" t="s">
        <v>540</v>
      </c>
      <c r="AA20" s="31" t="s">
        <v>556</v>
      </c>
      <c r="AB20" s="31"/>
    </row>
    <row r="21" spans="1:28" ht="15.6" thickTop="1" thickBot="1" x14ac:dyDescent="0.35">
      <c r="A21" s="13">
        <v>8029100</v>
      </c>
      <c r="B21" s="6" t="s">
        <v>83</v>
      </c>
      <c r="C21" s="49" t="s">
        <v>502</v>
      </c>
      <c r="D21" s="23">
        <v>46034</v>
      </c>
      <c r="E21" s="32">
        <v>0.64583333333333337</v>
      </c>
      <c r="F21" s="12">
        <v>-0.47010000000000002</v>
      </c>
      <c r="G21" s="12">
        <v>-0.66269999999999996</v>
      </c>
      <c r="H21" s="12">
        <v>-0.1963</v>
      </c>
      <c r="I21" s="12">
        <v>-0.21429999999999999</v>
      </c>
      <c r="J21" s="12">
        <v>0.25</v>
      </c>
      <c r="K21" s="12">
        <v>-0.78259999999999996</v>
      </c>
      <c r="L21" s="12">
        <v>-0.66669999999999996</v>
      </c>
      <c r="M21" s="12">
        <v>0</v>
      </c>
      <c r="N21" s="12">
        <v>-0.24390000000000001</v>
      </c>
      <c r="O21" s="12">
        <v>-0.19159999999999999</v>
      </c>
      <c r="P21" s="12">
        <v>0</v>
      </c>
      <c r="Q21" s="12">
        <v>-1.3846000000000001</v>
      </c>
      <c r="R21" s="12">
        <v>0</v>
      </c>
      <c r="S21" s="12">
        <v>0.14630000000000001</v>
      </c>
      <c r="T21" s="12">
        <v>0.15379999999999999</v>
      </c>
      <c r="U21" s="12">
        <v>2</v>
      </c>
      <c r="V21" s="12">
        <v>0</v>
      </c>
      <c r="Y21" t="s">
        <v>540</v>
      </c>
      <c r="AA21" s="31" t="s">
        <v>556</v>
      </c>
      <c r="AB21" s="31"/>
    </row>
    <row r="22" spans="1:28" ht="15.6" thickTop="1" thickBot="1" x14ac:dyDescent="0.35">
      <c r="A22" s="13">
        <v>8013500</v>
      </c>
      <c r="B22" s="6" t="s">
        <v>15</v>
      </c>
      <c r="C22" s="50" t="s">
        <v>502</v>
      </c>
      <c r="D22" s="23">
        <v>45320</v>
      </c>
      <c r="E22" t="s">
        <v>177</v>
      </c>
      <c r="F22" s="11">
        <v>8.8345225959904853E-3</v>
      </c>
      <c r="G22" s="11">
        <v>4.7407407407407405E-2</v>
      </c>
      <c r="H22" s="11">
        <v>-4.4806517311608958E-2</v>
      </c>
      <c r="I22" s="11">
        <v>6.4516129032258063E-2</v>
      </c>
      <c r="J22" s="11">
        <v>3.6429872495446266E-3</v>
      </c>
      <c r="K22" s="11">
        <v>0.19704433497536947</v>
      </c>
      <c r="L22" s="11">
        <v>-1.9889502762430938E-2</v>
      </c>
      <c r="M22" s="11">
        <v>5.128205128205128E-2</v>
      </c>
      <c r="N22" s="11">
        <v>-1.6260162601626018E-2</v>
      </c>
      <c r="O22" s="11">
        <v>-3.911342894393742E-2</v>
      </c>
      <c r="P22" s="11">
        <v>-0.13043478260869565</v>
      </c>
      <c r="Q22" s="11">
        <v>-1.4285714285714286</v>
      </c>
      <c r="R22" s="11">
        <v>0.75</v>
      </c>
      <c r="S22" s="11">
        <v>5.128205128205128E-2</v>
      </c>
      <c r="T22" s="11">
        <v>-0.88607594936708856</v>
      </c>
      <c r="U22" s="11">
        <v>0.72340425531914898</v>
      </c>
      <c r="V22" s="11">
        <v>1.0638297872340425E-2</v>
      </c>
    </row>
    <row r="23" spans="1:28" ht="15.6" thickTop="1" thickBot="1" x14ac:dyDescent="0.35">
      <c r="A23" s="13">
        <v>8031600</v>
      </c>
      <c r="B23" s="6" t="s">
        <v>86</v>
      </c>
      <c r="C23" s="49" t="s">
        <v>502</v>
      </c>
      <c r="D23" s="23">
        <v>46028</v>
      </c>
      <c r="E23" s="24" t="s">
        <v>177</v>
      </c>
      <c r="F23" s="12">
        <v>1.32E-2</v>
      </c>
      <c r="G23" s="12">
        <v>5.4100000000000002E-2</v>
      </c>
      <c r="H23" s="12">
        <v>-1.0200000000000001E-2</v>
      </c>
      <c r="I23" s="12">
        <v>0.19350000000000001</v>
      </c>
      <c r="J23" s="12">
        <v>-8.4000000000000005E-2</v>
      </c>
      <c r="K23" s="12">
        <v>-0.16389999999999999</v>
      </c>
      <c r="L23" s="12">
        <v>9.4100000000000003E-2</v>
      </c>
      <c r="M23" s="12">
        <v>0.28570000000000001</v>
      </c>
      <c r="N23" s="12">
        <v>0</v>
      </c>
      <c r="O23" s="12">
        <v>-3.6400000000000002E-2</v>
      </c>
      <c r="P23" s="12">
        <v>0.1429</v>
      </c>
      <c r="Q23" s="12">
        <v>0.28570000000000001</v>
      </c>
      <c r="R23" s="12">
        <v>-0.1333</v>
      </c>
      <c r="S23" s="12">
        <v>2</v>
      </c>
      <c r="T23" s="12">
        <v>-0.125</v>
      </c>
      <c r="U23" s="12">
        <v>0</v>
      </c>
      <c r="V23" s="12">
        <v>-7.4099999999999999E-2</v>
      </c>
      <c r="Y23" t="s">
        <v>540</v>
      </c>
      <c r="AA23" s="31" t="s">
        <v>556</v>
      </c>
      <c r="AB23" s="31"/>
    </row>
    <row r="24" spans="1:28" ht="15.6" thickTop="1" thickBot="1" x14ac:dyDescent="0.35">
      <c r="A24" s="13">
        <v>8052700</v>
      </c>
      <c r="B24" s="6" t="s">
        <v>120</v>
      </c>
      <c r="C24" s="49" t="s">
        <v>502</v>
      </c>
      <c r="D24" s="23">
        <v>46036</v>
      </c>
      <c r="E24" s="32">
        <v>0.48958333333333331</v>
      </c>
      <c r="F24" s="12">
        <v>-5.9200000000000003E-2</v>
      </c>
      <c r="G24" s="12">
        <v>-0.2364</v>
      </c>
      <c r="H24" s="12">
        <v>4.41E-2</v>
      </c>
      <c r="I24" s="12">
        <v>7.5899999999999995E-2</v>
      </c>
      <c r="J24" s="12">
        <v>0</v>
      </c>
      <c r="K24" s="12">
        <v>0</v>
      </c>
      <c r="L24" s="12">
        <v>-0.4052</v>
      </c>
      <c r="M24" s="12">
        <v>0.28570000000000001</v>
      </c>
      <c r="N24" s="12">
        <v>-0.1176</v>
      </c>
      <c r="O24" s="12">
        <v>5.9200000000000003E-2</v>
      </c>
      <c r="P24" s="12">
        <v>0.16669999999999999</v>
      </c>
      <c r="Q24" s="12">
        <v>0.15379999999999999</v>
      </c>
      <c r="R24" s="12">
        <v>0.125</v>
      </c>
      <c r="S24" s="12">
        <v>0</v>
      </c>
      <c r="T24" s="12">
        <v>0</v>
      </c>
      <c r="U24" s="12">
        <v>0</v>
      </c>
      <c r="V24" s="12">
        <v>0</v>
      </c>
      <c r="Y24" t="s">
        <v>540</v>
      </c>
      <c r="AA24" s="31" t="s">
        <v>556</v>
      </c>
      <c r="AB24" s="31"/>
    </row>
    <row r="25" spans="1:28" ht="15.6" thickTop="1" thickBot="1" x14ac:dyDescent="0.35">
      <c r="A25" s="13">
        <v>8005200</v>
      </c>
      <c r="B25" s="6" t="s">
        <v>34</v>
      </c>
      <c r="C25" s="49" t="s">
        <v>502</v>
      </c>
      <c r="D25" s="23">
        <v>45322</v>
      </c>
      <c r="E25" t="s">
        <v>177</v>
      </c>
      <c r="F25" s="11">
        <v>-3.2454361054766734E-2</v>
      </c>
      <c r="G25" s="11">
        <v>-1.5174506828528073E-2</v>
      </c>
      <c r="H25" s="11">
        <v>-5.9405940594059403E-2</v>
      </c>
      <c r="I25" s="11">
        <v>-2.4242424242424242E-2</v>
      </c>
      <c r="J25" s="11">
        <v>-1.4492753623188406E-2</v>
      </c>
      <c r="K25" s="11">
        <v>1.3009708737864079</v>
      </c>
      <c r="L25" s="11">
        <v>-1.4551971326164874</v>
      </c>
      <c r="M25" s="11">
        <v>-8.4507042253521125E-2</v>
      </c>
      <c r="N25" s="11">
        <v>-2.8169014084507043E-2</v>
      </c>
      <c r="O25" s="11">
        <v>-0.15172413793103448</v>
      </c>
      <c r="P25" s="11">
        <v>0.50847457627118642</v>
      </c>
      <c r="Q25" s="11">
        <v>-0.625</v>
      </c>
      <c r="R25" s="11">
        <v>7.792207792207792E-2</v>
      </c>
      <c r="S25" s="11">
        <v>0</v>
      </c>
      <c r="T25" s="11">
        <v>-0.66666666666666663</v>
      </c>
      <c r="U25" s="11">
        <v>9.7560975609756097E-3</v>
      </c>
      <c r="V25" s="11">
        <v>-3.0769230769230771E-2</v>
      </c>
    </row>
    <row r="26" spans="1:28" ht="15.6" thickTop="1" thickBot="1" x14ac:dyDescent="0.35">
      <c r="A26" s="13">
        <v>8024100</v>
      </c>
      <c r="B26" s="6" t="s">
        <v>65</v>
      </c>
      <c r="C26" s="49" t="s">
        <v>502</v>
      </c>
      <c r="D26" s="23">
        <v>46030</v>
      </c>
      <c r="E26" s="24" t="s">
        <v>176</v>
      </c>
      <c r="F26" s="12">
        <v>5.7700000000000001E-2</v>
      </c>
      <c r="G26" s="12">
        <v>6.4100000000000004E-2</v>
      </c>
      <c r="H26" s="12">
        <v>0.1484</v>
      </c>
      <c r="I26" s="12">
        <v>-0.16539999999999999</v>
      </c>
      <c r="J26" s="12">
        <v>0</v>
      </c>
      <c r="K26" s="12">
        <v>0.66669999999999996</v>
      </c>
      <c r="L26" s="12">
        <v>4.9599999999999998E-2</v>
      </c>
      <c r="M26" s="12">
        <v>0.1754</v>
      </c>
      <c r="N26" s="12">
        <v>-0.1333</v>
      </c>
      <c r="O26" s="12">
        <v>0.18179999999999999</v>
      </c>
      <c r="P26" s="12">
        <v>0</v>
      </c>
      <c r="Q26" s="12">
        <v>-9.5200000000000007E-2</v>
      </c>
      <c r="R26" s="12">
        <v>-2</v>
      </c>
      <c r="S26" s="12">
        <v>-0.14929999999999999</v>
      </c>
      <c r="T26" s="12">
        <v>0</v>
      </c>
      <c r="U26" s="12">
        <v>0</v>
      </c>
      <c r="V26" s="12">
        <v>0</v>
      </c>
      <c r="Y26" t="s">
        <v>540</v>
      </c>
      <c r="AA26" s="31" t="s">
        <v>556</v>
      </c>
      <c r="AB26" s="31"/>
    </row>
    <row r="27" spans="1:28" ht="15.6" thickTop="1" thickBot="1" x14ac:dyDescent="0.35">
      <c r="A27" s="13">
        <v>8056000</v>
      </c>
      <c r="B27" s="6" t="s">
        <v>135</v>
      </c>
      <c r="C27" s="49" t="s">
        <v>502</v>
      </c>
      <c r="D27" s="23">
        <v>46031</v>
      </c>
      <c r="E27" s="24" t="s">
        <v>176</v>
      </c>
      <c r="F27" s="12">
        <v>-3.3399999999999999E-2</v>
      </c>
      <c r="G27" s="12">
        <v>1.6E-2</v>
      </c>
      <c r="H27" s="12">
        <v>-0.17649999999999999</v>
      </c>
      <c r="I27" s="12">
        <v>0.19350000000000001</v>
      </c>
      <c r="J27" s="12">
        <v>-0.16539999999999999</v>
      </c>
      <c r="K27" s="12">
        <v>0</v>
      </c>
      <c r="L27" s="12">
        <v>0.14630000000000001</v>
      </c>
      <c r="M27" s="12">
        <v>-0.3</v>
      </c>
      <c r="N27" s="12">
        <v>-0.15379999999999999</v>
      </c>
      <c r="O27" s="12">
        <v>0</v>
      </c>
      <c r="P27" s="12">
        <v>-0.76919999999999999</v>
      </c>
      <c r="Q27" s="12">
        <v>0.25</v>
      </c>
      <c r="R27" s="12">
        <v>0.1875</v>
      </c>
      <c r="S27" s="12">
        <v>0.15379999999999999</v>
      </c>
      <c r="T27" s="12">
        <v>0</v>
      </c>
      <c r="U27" s="12">
        <v>-9.35E-2</v>
      </c>
      <c r="V27" s="12">
        <v>-2</v>
      </c>
      <c r="Y27" t="s">
        <v>541</v>
      </c>
      <c r="AA27" s="31" t="s">
        <v>556</v>
      </c>
      <c r="AB27" s="31"/>
    </row>
    <row r="28" spans="1:28" ht="15.6" thickTop="1" thickBot="1" x14ac:dyDescent="0.35">
      <c r="A28" s="13">
        <v>8040000</v>
      </c>
      <c r="B28" s="6" t="s">
        <v>104</v>
      </c>
      <c r="C28" t="s">
        <v>13</v>
      </c>
      <c r="D28" s="24" t="s">
        <v>13</v>
      </c>
      <c r="E28" s="24" t="s">
        <v>13</v>
      </c>
    </row>
    <row r="29" spans="1:28" ht="15.6" thickTop="1" thickBot="1" x14ac:dyDescent="0.35">
      <c r="A29" s="13">
        <v>8035100</v>
      </c>
      <c r="B29" s="6" t="s">
        <v>206</v>
      </c>
      <c r="C29" t="s">
        <v>13</v>
      </c>
      <c r="D29" s="24" t="s">
        <v>13</v>
      </c>
      <c r="E29" s="24" t="s">
        <v>13</v>
      </c>
    </row>
    <row r="30" spans="1:28" ht="15.6" thickTop="1" thickBot="1" x14ac:dyDescent="0.35">
      <c r="A30" s="13">
        <v>8049100</v>
      </c>
      <c r="B30" s="6" t="s">
        <v>223</v>
      </c>
      <c r="C30" t="s">
        <v>13</v>
      </c>
      <c r="D30" s="24" t="s">
        <v>13</v>
      </c>
      <c r="E30" s="24" t="s">
        <v>13</v>
      </c>
    </row>
    <row r="31" spans="1:28" ht="15.6" thickTop="1" thickBot="1" x14ac:dyDescent="0.35">
      <c r="A31" s="13">
        <v>8049200</v>
      </c>
      <c r="B31" s="6" t="s">
        <v>116</v>
      </c>
      <c r="C31" t="s">
        <v>13</v>
      </c>
      <c r="D31" s="24" t="s">
        <v>13</v>
      </c>
      <c r="E31" s="24" t="s">
        <v>13</v>
      </c>
    </row>
    <row r="32" spans="1:28" ht="15.6" thickTop="1" thickBot="1" x14ac:dyDescent="0.35">
      <c r="A32" s="13">
        <v>8054500</v>
      </c>
      <c r="B32" s="6" t="s">
        <v>126</v>
      </c>
      <c r="C32" t="s">
        <v>13</v>
      </c>
      <c r="D32" s="24" t="s">
        <v>13</v>
      </c>
      <c r="E32" s="24" t="s">
        <v>13</v>
      </c>
    </row>
    <row r="33" spans="1:22" ht="15.6" thickTop="1" thickBot="1" x14ac:dyDescent="0.35">
      <c r="A33" s="13">
        <v>8056300</v>
      </c>
      <c r="B33" s="6" t="s">
        <v>137</v>
      </c>
      <c r="C33" t="s">
        <v>13</v>
      </c>
      <c r="D33" s="24" t="s">
        <v>13</v>
      </c>
      <c r="E33" s="24" t="s">
        <v>13</v>
      </c>
    </row>
    <row r="34" spans="1:22" ht="15.6" thickTop="1" thickBot="1" x14ac:dyDescent="0.35">
      <c r="A34" s="13">
        <v>8046600</v>
      </c>
      <c r="B34" s="6" t="s">
        <v>113</v>
      </c>
      <c r="C34" t="s">
        <v>13</v>
      </c>
      <c r="D34" s="24" t="s">
        <v>13</v>
      </c>
      <c r="E34" s="24" t="s">
        <v>13</v>
      </c>
    </row>
    <row r="35" spans="1:22" ht="15.6" thickTop="1" thickBot="1" x14ac:dyDescent="0.35">
      <c r="A35" s="13">
        <v>8008600</v>
      </c>
      <c r="B35" s="6" t="s">
        <v>41</v>
      </c>
      <c r="C35" t="s">
        <v>13</v>
      </c>
      <c r="D35" s="24" t="s">
        <v>13</v>
      </c>
      <c r="E35" s="24" t="s">
        <v>13</v>
      </c>
    </row>
    <row r="36" spans="1:22" ht="15.6" thickTop="1" thickBot="1" x14ac:dyDescent="0.35">
      <c r="A36" s="13">
        <v>8017900</v>
      </c>
      <c r="B36" s="6" t="s">
        <v>52</v>
      </c>
      <c r="C36" t="s">
        <v>13</v>
      </c>
      <c r="D36" s="24" t="s">
        <v>13</v>
      </c>
      <c r="E36" s="24" t="s">
        <v>13</v>
      </c>
    </row>
    <row r="37" spans="1:22" ht="15.6" thickTop="1" thickBot="1" x14ac:dyDescent="0.35">
      <c r="A37" s="13">
        <v>8010300</v>
      </c>
      <c r="B37" s="6" t="s">
        <v>188</v>
      </c>
      <c r="C37" t="s">
        <v>13</v>
      </c>
      <c r="D37" s="24" t="s">
        <v>13</v>
      </c>
      <c r="E37" s="24" t="s">
        <v>13</v>
      </c>
    </row>
    <row r="38" spans="1:22" ht="15.6" thickTop="1" thickBot="1" x14ac:dyDescent="0.35">
      <c r="A38" s="13">
        <v>8024500</v>
      </c>
      <c r="B38" s="6" t="s">
        <v>16</v>
      </c>
      <c r="C38" t="s">
        <v>497</v>
      </c>
      <c r="D38" s="23">
        <v>45321</v>
      </c>
      <c r="E38" t="s">
        <v>176</v>
      </c>
      <c r="F38" s="11">
        <v>1.3531799729364006E-2</v>
      </c>
      <c r="G38" s="11">
        <v>9.9009900990099011E-3</v>
      </c>
      <c r="H38" s="11">
        <v>2.6557711950970377E-2</v>
      </c>
      <c r="I38" s="11">
        <v>-1.4925373134328358E-2</v>
      </c>
      <c r="J38" s="11">
        <v>2.2116903633491312E-2</v>
      </c>
      <c r="K38" s="11">
        <v>-6.7114093959731544E-2</v>
      </c>
      <c r="L38" s="11">
        <v>2.936378466557912E-2</v>
      </c>
      <c r="M38" s="11">
        <v>0</v>
      </c>
      <c r="N38" s="11">
        <v>-1.4184397163120567E-2</v>
      </c>
      <c r="O38" s="11">
        <v>0.27200000000000002</v>
      </c>
      <c r="P38" s="11">
        <v>-2</v>
      </c>
      <c r="Q38" s="11">
        <v>0</v>
      </c>
      <c r="R38" s="11">
        <v>0.23280423280423279</v>
      </c>
      <c r="S38" s="11">
        <v>-0.97959183673469385</v>
      </c>
      <c r="T38" s="11">
        <v>0</v>
      </c>
      <c r="U38" s="11">
        <v>0.53023255813953485</v>
      </c>
      <c r="V38" s="11">
        <v>-2</v>
      </c>
    </row>
    <row r="39" spans="1:22" ht="15.6" thickTop="1" thickBot="1" x14ac:dyDescent="0.35">
      <c r="A39" s="13">
        <v>8037100</v>
      </c>
      <c r="B39" s="6" t="s">
        <v>208</v>
      </c>
      <c r="C39" t="s">
        <v>13</v>
      </c>
      <c r="D39" s="24" t="s">
        <v>13</v>
      </c>
      <c r="E39" s="24" t="s">
        <v>13</v>
      </c>
    </row>
    <row r="40" spans="1:22" ht="15.6" thickTop="1" thickBot="1" x14ac:dyDescent="0.35">
      <c r="A40" s="13">
        <v>9010810</v>
      </c>
      <c r="B40" s="6" t="s">
        <v>259</v>
      </c>
      <c r="C40" t="s">
        <v>13</v>
      </c>
      <c r="D40" s="24" t="s">
        <v>13</v>
      </c>
      <c r="E40" s="24" t="s">
        <v>13</v>
      </c>
    </row>
    <row r="41" spans="1:22" ht="15.6" thickTop="1" thickBot="1" x14ac:dyDescent="0.35">
      <c r="A41" s="13">
        <v>8057750</v>
      </c>
      <c r="B41" s="6" t="s">
        <v>149</v>
      </c>
      <c r="C41" t="s">
        <v>13</v>
      </c>
      <c r="D41" s="24" t="s">
        <v>13</v>
      </c>
      <c r="E41" s="24" t="s">
        <v>13</v>
      </c>
    </row>
    <row r="42" spans="1:22" ht="15.6" thickTop="1" thickBot="1" x14ac:dyDescent="0.35">
      <c r="A42" s="13">
        <v>8051900</v>
      </c>
      <c r="B42" s="6" t="s">
        <v>231</v>
      </c>
      <c r="C42" t="s">
        <v>13</v>
      </c>
      <c r="D42" s="24" t="s">
        <v>13</v>
      </c>
      <c r="E42" s="24" t="s">
        <v>13</v>
      </c>
    </row>
    <row r="43" spans="1:22" ht="15.6" thickTop="1" thickBot="1" x14ac:dyDescent="0.35">
      <c r="A43" s="13">
        <v>8048700</v>
      </c>
      <c r="B43" s="6" t="s">
        <v>221</v>
      </c>
      <c r="C43" t="s">
        <v>13</v>
      </c>
      <c r="D43" s="24" t="s">
        <v>13</v>
      </c>
      <c r="E43" s="24" t="s">
        <v>13</v>
      </c>
    </row>
    <row r="44" spans="1:22" ht="15.6" thickTop="1" thickBot="1" x14ac:dyDescent="0.35">
      <c r="A44" s="13">
        <v>8040200</v>
      </c>
      <c r="B44" s="6" t="s">
        <v>105</v>
      </c>
      <c r="C44" t="s">
        <v>13</v>
      </c>
      <c r="D44" s="24" t="s">
        <v>13</v>
      </c>
      <c r="E44" s="24" t="s">
        <v>13</v>
      </c>
    </row>
    <row r="45" spans="1:22" ht="15.6" thickTop="1" thickBot="1" x14ac:dyDescent="0.35">
      <c r="A45" s="13">
        <v>8042200</v>
      </c>
      <c r="B45" s="6" t="s">
        <v>106</v>
      </c>
      <c r="C45" s="49" t="s">
        <v>502</v>
      </c>
      <c r="D45" s="24" t="s">
        <v>13</v>
      </c>
      <c r="E45" s="24" t="s">
        <v>13</v>
      </c>
    </row>
    <row r="46" spans="1:22" ht="15.6" thickTop="1" thickBot="1" x14ac:dyDescent="0.35">
      <c r="A46" s="13">
        <v>8042300</v>
      </c>
      <c r="B46" s="6" t="s">
        <v>214</v>
      </c>
      <c r="C46" t="s">
        <v>13</v>
      </c>
      <c r="D46" s="24" t="s">
        <v>13</v>
      </c>
      <c r="E46" s="24" t="s">
        <v>13</v>
      </c>
    </row>
    <row r="47" spans="1:22" ht="15.6" thickTop="1" thickBot="1" x14ac:dyDescent="0.35">
      <c r="A47" s="13">
        <v>8030200</v>
      </c>
      <c r="B47" s="6" t="s">
        <v>9</v>
      </c>
      <c r="C47" t="s">
        <v>13</v>
      </c>
      <c r="D47" s="24" t="s">
        <v>13</v>
      </c>
      <c r="E47" s="24" t="s">
        <v>13</v>
      </c>
    </row>
    <row r="48" spans="1:22" ht="15.6" thickTop="1" thickBot="1" x14ac:dyDescent="0.35">
      <c r="A48" s="13">
        <v>8032400</v>
      </c>
      <c r="B48" s="6" t="s">
        <v>5</v>
      </c>
      <c r="C48" t="s">
        <v>13</v>
      </c>
      <c r="D48" s="24" t="s">
        <v>13</v>
      </c>
      <c r="E48" s="24" t="s">
        <v>13</v>
      </c>
    </row>
    <row r="49" spans="1:5" ht="15.6" thickTop="1" thickBot="1" x14ac:dyDescent="0.35">
      <c r="A49" s="13">
        <v>8052300</v>
      </c>
      <c r="B49" s="6" t="s">
        <v>234</v>
      </c>
      <c r="C49" t="s">
        <v>13</v>
      </c>
      <c r="D49" s="24" t="s">
        <v>13</v>
      </c>
      <c r="E49" s="24" t="s">
        <v>13</v>
      </c>
    </row>
    <row r="50" spans="1:5" ht="15.6" thickTop="1" thickBot="1" x14ac:dyDescent="0.35">
      <c r="A50" s="13">
        <v>8047000</v>
      </c>
      <c r="B50" s="6" t="s">
        <v>217</v>
      </c>
      <c r="C50" t="s">
        <v>13</v>
      </c>
      <c r="D50" s="24" t="s">
        <v>13</v>
      </c>
      <c r="E50" s="24" t="s">
        <v>13</v>
      </c>
    </row>
    <row r="51" spans="1:5" ht="15.6" thickTop="1" thickBot="1" x14ac:dyDescent="0.35">
      <c r="A51" s="13">
        <v>8012600</v>
      </c>
      <c r="B51" s="6" t="s">
        <v>189</v>
      </c>
      <c r="C51" t="s">
        <v>13</v>
      </c>
      <c r="D51" s="24" t="s">
        <v>13</v>
      </c>
      <c r="E51" s="24" t="s">
        <v>13</v>
      </c>
    </row>
    <row r="52" spans="1:5" ht="15.6" thickTop="1" thickBot="1" x14ac:dyDescent="0.35">
      <c r="A52" s="13">
        <v>8057925</v>
      </c>
      <c r="B52" s="6" t="s">
        <v>151</v>
      </c>
      <c r="C52" t="s">
        <v>13</v>
      </c>
      <c r="D52" s="24" t="s">
        <v>13</v>
      </c>
      <c r="E52" s="24" t="s">
        <v>13</v>
      </c>
    </row>
    <row r="53" spans="1:5" ht="15.6" thickTop="1" thickBot="1" x14ac:dyDescent="0.35">
      <c r="A53" s="13">
        <v>9010710</v>
      </c>
      <c r="B53" s="6" t="s">
        <v>154</v>
      </c>
      <c r="C53" t="s">
        <v>13</v>
      </c>
      <c r="D53" s="24" t="s">
        <v>13</v>
      </c>
      <c r="E53" s="24" t="s">
        <v>13</v>
      </c>
    </row>
    <row r="54" spans="1:5" ht="15.6" thickTop="1" thickBot="1" x14ac:dyDescent="0.35">
      <c r="A54" s="13">
        <v>9010695</v>
      </c>
      <c r="B54" s="6" t="s">
        <v>257</v>
      </c>
      <c r="C54" t="s">
        <v>13</v>
      </c>
      <c r="D54" s="24" t="s">
        <v>13</v>
      </c>
      <c r="E54" s="24" t="s">
        <v>13</v>
      </c>
    </row>
    <row r="55" spans="1:5" ht="15.6" thickTop="1" thickBot="1" x14ac:dyDescent="0.35">
      <c r="A55" s="13">
        <v>9010690</v>
      </c>
      <c r="B55" s="6" t="s">
        <v>256</v>
      </c>
      <c r="C55" t="s">
        <v>13</v>
      </c>
      <c r="D55" s="24" t="s">
        <v>13</v>
      </c>
      <c r="E55" s="24" t="s">
        <v>13</v>
      </c>
    </row>
    <row r="56" spans="1:5" ht="15.6" thickTop="1" thickBot="1" x14ac:dyDescent="0.35">
      <c r="A56" s="13">
        <v>9010685</v>
      </c>
      <c r="B56" s="6" t="s">
        <v>255</v>
      </c>
      <c r="C56" t="s">
        <v>13</v>
      </c>
      <c r="D56" s="24" t="s">
        <v>13</v>
      </c>
      <c r="E56" s="24" t="s">
        <v>13</v>
      </c>
    </row>
    <row r="57" spans="1:5" ht="15.6" thickTop="1" thickBot="1" x14ac:dyDescent="0.35">
      <c r="A57" s="13">
        <v>8035000</v>
      </c>
      <c r="B57" s="6" t="s">
        <v>94</v>
      </c>
      <c r="C57" t="s">
        <v>13</v>
      </c>
      <c r="D57" s="24" t="s">
        <v>13</v>
      </c>
      <c r="E57" s="24" t="s">
        <v>13</v>
      </c>
    </row>
    <row r="58" spans="1:5" ht="15.6" thickTop="1" thickBot="1" x14ac:dyDescent="0.35">
      <c r="A58" s="13">
        <v>8026400</v>
      </c>
      <c r="B58" s="6" t="s">
        <v>74</v>
      </c>
      <c r="C58" t="s">
        <v>13</v>
      </c>
      <c r="D58" s="24" t="s">
        <v>13</v>
      </c>
      <c r="E58" s="24" t="s">
        <v>13</v>
      </c>
    </row>
    <row r="59" spans="1:5" ht="15.6" thickTop="1" thickBot="1" x14ac:dyDescent="0.35">
      <c r="A59" s="13">
        <v>8045500</v>
      </c>
      <c r="B59" s="6" t="s">
        <v>112</v>
      </c>
      <c r="C59" t="s">
        <v>13</v>
      </c>
      <c r="D59" s="24" t="s">
        <v>13</v>
      </c>
      <c r="E59" s="24" t="s">
        <v>13</v>
      </c>
    </row>
    <row r="60" spans="1:5" ht="15.6" thickTop="1" thickBot="1" x14ac:dyDescent="0.35">
      <c r="A60" s="13">
        <v>8052900</v>
      </c>
      <c r="B60" s="6" t="s">
        <v>236</v>
      </c>
      <c r="C60" t="s">
        <v>13</v>
      </c>
      <c r="D60" s="24" t="s">
        <v>13</v>
      </c>
      <c r="E60" s="24" t="s">
        <v>13</v>
      </c>
    </row>
    <row r="61" spans="1:5" ht="15.6" thickTop="1" thickBot="1" x14ac:dyDescent="0.35">
      <c r="A61" s="13">
        <v>8054000</v>
      </c>
      <c r="B61" s="6" t="s">
        <v>124</v>
      </c>
      <c r="C61" t="s">
        <v>13</v>
      </c>
      <c r="D61" s="24" t="s">
        <v>13</v>
      </c>
      <c r="E61" s="24" t="s">
        <v>13</v>
      </c>
    </row>
    <row r="62" spans="1:5" ht="15.6" thickTop="1" thickBot="1" x14ac:dyDescent="0.35">
      <c r="A62" s="13">
        <v>8053900</v>
      </c>
      <c r="B62" s="6" t="s">
        <v>123</v>
      </c>
      <c r="C62" t="s">
        <v>13</v>
      </c>
      <c r="D62" s="24" t="s">
        <v>13</v>
      </c>
      <c r="E62" s="24" t="s">
        <v>13</v>
      </c>
    </row>
    <row r="63" spans="1:5" ht="15.6" thickTop="1" thickBot="1" x14ac:dyDescent="0.35">
      <c r="A63" s="13">
        <v>8055850</v>
      </c>
      <c r="B63" s="6" t="s">
        <v>17</v>
      </c>
      <c r="C63" t="s">
        <v>13</v>
      </c>
      <c r="D63" s="24" t="s">
        <v>13</v>
      </c>
      <c r="E63" s="24" t="s">
        <v>13</v>
      </c>
    </row>
    <row r="64" spans="1:5" ht="15.6" thickTop="1" thickBot="1" x14ac:dyDescent="0.35">
      <c r="A64" s="13">
        <v>8056450</v>
      </c>
      <c r="B64" s="6" t="s">
        <v>7</v>
      </c>
      <c r="C64" t="s">
        <v>13</v>
      </c>
      <c r="D64" s="24" t="s">
        <v>13</v>
      </c>
      <c r="E64" s="24" t="s">
        <v>13</v>
      </c>
    </row>
    <row r="65" spans="1:22" ht="15.6" thickTop="1" thickBot="1" x14ac:dyDescent="0.35">
      <c r="A65" s="13">
        <v>8025300</v>
      </c>
      <c r="B65" s="6" t="s">
        <v>195</v>
      </c>
      <c r="C65" t="s">
        <v>13</v>
      </c>
      <c r="D65" s="24" t="s">
        <v>13</v>
      </c>
      <c r="E65" s="24" t="s">
        <v>13</v>
      </c>
    </row>
    <row r="66" spans="1:22" ht="15.6" thickTop="1" thickBot="1" x14ac:dyDescent="0.35">
      <c r="A66" s="13">
        <v>8045400</v>
      </c>
      <c r="B66" s="6" t="s">
        <v>216</v>
      </c>
      <c r="C66" t="s">
        <v>13</v>
      </c>
      <c r="D66" s="24" t="s">
        <v>13</v>
      </c>
      <c r="E66" s="24" t="s">
        <v>13</v>
      </c>
    </row>
    <row r="67" spans="1:22" ht="15.6" thickTop="1" thickBot="1" x14ac:dyDescent="0.35">
      <c r="A67" s="13">
        <v>8014800</v>
      </c>
      <c r="B67" s="6" t="s">
        <v>190</v>
      </c>
      <c r="C67" t="s">
        <v>13</v>
      </c>
      <c r="D67" s="24" t="s">
        <v>13</v>
      </c>
      <c r="E67" s="24" t="s">
        <v>13</v>
      </c>
    </row>
    <row r="68" spans="1:22" ht="15.6" thickTop="1" thickBot="1" x14ac:dyDescent="0.35">
      <c r="A68" s="13">
        <v>8033500</v>
      </c>
      <c r="B68" s="6" t="s">
        <v>203</v>
      </c>
      <c r="C68" t="s">
        <v>13</v>
      </c>
      <c r="D68" s="24" t="s">
        <v>13</v>
      </c>
      <c r="E68" s="24" t="s">
        <v>13</v>
      </c>
    </row>
    <row r="69" spans="1:22" ht="15.6" thickTop="1" thickBot="1" x14ac:dyDescent="0.35">
      <c r="A69" s="13">
        <v>8039800</v>
      </c>
      <c r="B69" s="6" t="s">
        <v>103</v>
      </c>
      <c r="C69" t="s">
        <v>13</v>
      </c>
      <c r="D69" s="24" t="s">
        <v>13</v>
      </c>
      <c r="E69" s="24" t="s">
        <v>13</v>
      </c>
    </row>
    <row r="70" spans="1:22" ht="15.6" thickTop="1" thickBot="1" x14ac:dyDescent="0.35">
      <c r="A70" s="13">
        <v>8016800</v>
      </c>
      <c r="B70" s="6" t="s">
        <v>49</v>
      </c>
      <c r="C70" s="2" t="s">
        <v>497</v>
      </c>
      <c r="D70" s="23">
        <v>45336</v>
      </c>
      <c r="E70" s="5" t="s">
        <v>177</v>
      </c>
      <c r="F70" s="11">
        <v>-8.9015924867292776E-2</v>
      </c>
      <c r="G70" s="11">
        <v>-4.4393853158793399E-2</v>
      </c>
      <c r="H70" s="11">
        <v>1.1409942950285249E-2</v>
      </c>
      <c r="I70" s="11">
        <v>-0.11227402473834443</v>
      </c>
      <c r="J70" s="11">
        <v>-0.29432213209733488</v>
      </c>
      <c r="K70" s="11">
        <v>-0.12429378531073447</v>
      </c>
      <c r="L70" s="11">
        <v>0</v>
      </c>
      <c r="M70" s="11">
        <v>-0.14225941422594143</v>
      </c>
      <c r="N70" s="11">
        <v>-1.7094017094017096E-2</v>
      </c>
      <c r="O70" s="11">
        <v>0.2608695652173913</v>
      </c>
      <c r="P70" s="11">
        <v>-2</v>
      </c>
      <c r="Q70" s="11">
        <v>-2.2988505747126436E-2</v>
      </c>
      <c r="R70" s="11">
        <v>3.3240997229916899E-2</v>
      </c>
      <c r="S70" s="11">
        <v>-2</v>
      </c>
      <c r="T70" s="11">
        <v>3.8834951456310676E-2</v>
      </c>
      <c r="U70" s="11">
        <v>7.6628352490421452E-3</v>
      </c>
      <c r="V70" s="11">
        <v>-1.9703703703703703</v>
      </c>
    </row>
    <row r="71" spans="1:22" ht="15.6" thickTop="1" thickBot="1" x14ac:dyDescent="0.35">
      <c r="A71" s="13">
        <v>8025700</v>
      </c>
      <c r="B71" s="6" t="s">
        <v>70</v>
      </c>
      <c r="C71" t="s">
        <v>13</v>
      </c>
      <c r="D71" s="24" t="s">
        <v>13</v>
      </c>
      <c r="E71" s="24" t="s">
        <v>13</v>
      </c>
    </row>
    <row r="72" spans="1:22" ht="15.6" thickTop="1" thickBot="1" x14ac:dyDescent="0.35">
      <c r="A72" s="13">
        <v>8032000</v>
      </c>
      <c r="B72" s="6" t="s">
        <v>198</v>
      </c>
      <c r="C72" t="s">
        <v>13</v>
      </c>
      <c r="D72" s="24" t="s">
        <v>13</v>
      </c>
      <c r="E72" s="24" t="s">
        <v>13</v>
      </c>
    </row>
    <row r="73" spans="1:22" ht="15.6" thickTop="1" thickBot="1" x14ac:dyDescent="0.35">
      <c r="A73" s="13">
        <v>8055100</v>
      </c>
      <c r="B73" s="6" t="s">
        <v>131</v>
      </c>
      <c r="C73" t="s">
        <v>13</v>
      </c>
      <c r="D73" s="24" t="s">
        <v>13</v>
      </c>
      <c r="E73" s="24" t="s">
        <v>13</v>
      </c>
    </row>
    <row r="74" spans="1:22" ht="15.6" thickTop="1" thickBot="1" x14ac:dyDescent="0.35">
      <c r="A74" s="13">
        <v>8057970</v>
      </c>
      <c r="B74" s="6" t="s">
        <v>246</v>
      </c>
      <c r="C74" t="s">
        <v>13</v>
      </c>
      <c r="D74" s="24" t="s">
        <v>13</v>
      </c>
      <c r="E74" s="24" t="s">
        <v>13</v>
      </c>
    </row>
    <row r="75" spans="1:22" ht="15.6" thickTop="1" thickBot="1" x14ac:dyDescent="0.35">
      <c r="A75" s="13">
        <v>8057965</v>
      </c>
      <c r="B75" s="6" t="s">
        <v>245</v>
      </c>
      <c r="C75" t="s">
        <v>13</v>
      </c>
      <c r="D75" s="24" t="s">
        <v>13</v>
      </c>
      <c r="E75" s="24" t="s">
        <v>13</v>
      </c>
    </row>
    <row r="76" spans="1:22" ht="15.6" thickTop="1" thickBot="1" x14ac:dyDescent="0.35">
      <c r="A76" s="13">
        <v>8055800</v>
      </c>
      <c r="B76" s="6" t="s">
        <v>239</v>
      </c>
      <c r="C76" t="s">
        <v>13</v>
      </c>
      <c r="D76" s="24" t="s">
        <v>13</v>
      </c>
      <c r="E76" s="24" t="s">
        <v>13</v>
      </c>
    </row>
    <row r="77" spans="1:22" ht="15.6" thickTop="1" thickBot="1" x14ac:dyDescent="0.35">
      <c r="A77" s="13">
        <v>8036600</v>
      </c>
      <c r="B77" s="6" t="s">
        <v>207</v>
      </c>
      <c r="C77" t="s">
        <v>13</v>
      </c>
      <c r="D77" s="24" t="s">
        <v>13</v>
      </c>
      <c r="E77" s="24" t="s">
        <v>13</v>
      </c>
    </row>
    <row r="78" spans="1:22" ht="15.6" thickTop="1" thickBot="1" x14ac:dyDescent="0.35">
      <c r="A78" s="13">
        <v>8017200</v>
      </c>
      <c r="B78" s="6" t="s">
        <v>191</v>
      </c>
      <c r="C78" t="s">
        <v>13</v>
      </c>
      <c r="D78" s="24" t="s">
        <v>13</v>
      </c>
      <c r="E78" s="24" t="s">
        <v>13</v>
      </c>
    </row>
    <row r="79" spans="1:22" ht="15.6" thickTop="1" thickBot="1" x14ac:dyDescent="0.35">
      <c r="A79" s="13">
        <v>8013200</v>
      </c>
      <c r="B79" s="6" t="s">
        <v>46</v>
      </c>
      <c r="C79" t="s">
        <v>13</v>
      </c>
      <c r="D79" s="24" t="s">
        <v>13</v>
      </c>
      <c r="E79" s="24" t="s">
        <v>13</v>
      </c>
    </row>
    <row r="80" spans="1:22" ht="15.6" thickTop="1" thickBot="1" x14ac:dyDescent="0.35">
      <c r="A80" s="13">
        <v>8031700</v>
      </c>
      <c r="B80" s="6" t="s">
        <v>87</v>
      </c>
      <c r="C80" t="s">
        <v>13</v>
      </c>
      <c r="D80" s="24" t="s">
        <v>13</v>
      </c>
      <c r="E80" s="24" t="s">
        <v>13</v>
      </c>
    </row>
    <row r="81" spans="1:22" ht="15.6" thickTop="1" thickBot="1" x14ac:dyDescent="0.35">
      <c r="A81" s="13">
        <v>8026800</v>
      </c>
      <c r="B81" s="6" t="s">
        <v>77</v>
      </c>
      <c r="C81" t="s">
        <v>13</v>
      </c>
      <c r="D81" s="24" t="s">
        <v>13</v>
      </c>
      <c r="E81" s="24" t="s">
        <v>13</v>
      </c>
    </row>
    <row r="82" spans="1:22" ht="15.6" thickTop="1" thickBot="1" x14ac:dyDescent="0.35">
      <c r="A82" s="13">
        <v>8025900</v>
      </c>
      <c r="B82" s="6" t="s">
        <v>71</v>
      </c>
      <c r="C82" t="s">
        <v>13</v>
      </c>
      <c r="D82" s="24" t="s">
        <v>13</v>
      </c>
      <c r="E82" s="24" t="s">
        <v>13</v>
      </c>
    </row>
    <row r="83" spans="1:22" ht="15.6" thickTop="1" thickBot="1" x14ac:dyDescent="0.35">
      <c r="A83" s="13">
        <v>8026000</v>
      </c>
      <c r="B83" s="6" t="s">
        <v>72</v>
      </c>
      <c r="C83" t="s">
        <v>13</v>
      </c>
      <c r="D83" s="24" t="s">
        <v>13</v>
      </c>
      <c r="E83" s="24" t="s">
        <v>13</v>
      </c>
    </row>
    <row r="84" spans="1:22" ht="15.6" thickTop="1" thickBot="1" x14ac:dyDescent="0.35">
      <c r="A84" s="13">
        <v>8026100</v>
      </c>
      <c r="B84" s="6" t="s">
        <v>73</v>
      </c>
      <c r="C84" t="s">
        <v>13</v>
      </c>
      <c r="D84" s="24" t="s">
        <v>13</v>
      </c>
      <c r="E84" s="24" t="s">
        <v>13</v>
      </c>
    </row>
    <row r="85" spans="1:22" ht="15.6" thickTop="1" thickBot="1" x14ac:dyDescent="0.35">
      <c r="A85" s="13">
        <v>8053600</v>
      </c>
      <c r="B85" s="6" t="s">
        <v>122</v>
      </c>
      <c r="C85" t="s">
        <v>13</v>
      </c>
      <c r="D85" s="24" t="s">
        <v>13</v>
      </c>
      <c r="E85" s="24" t="s">
        <v>13</v>
      </c>
    </row>
    <row r="86" spans="1:22" ht="15.6" thickTop="1" thickBot="1" x14ac:dyDescent="0.35">
      <c r="A86" s="13">
        <v>8026700</v>
      </c>
      <c r="B86" s="6" t="s">
        <v>76</v>
      </c>
      <c r="C86" t="s">
        <v>13</v>
      </c>
      <c r="D86" s="24" t="s">
        <v>13</v>
      </c>
      <c r="E86" s="24" t="s">
        <v>13</v>
      </c>
    </row>
    <row r="87" spans="1:22" ht="15.6" thickTop="1" thickBot="1" x14ac:dyDescent="0.35">
      <c r="A87" s="13">
        <v>8037000</v>
      </c>
      <c r="B87" s="6" t="s">
        <v>97</v>
      </c>
      <c r="C87" t="s">
        <v>13</v>
      </c>
      <c r="D87" s="24" t="s">
        <v>13</v>
      </c>
      <c r="E87" s="24" t="s">
        <v>13</v>
      </c>
    </row>
    <row r="88" spans="1:22" ht="15.6" thickTop="1" thickBot="1" x14ac:dyDescent="0.35">
      <c r="A88" s="13">
        <v>8042600</v>
      </c>
      <c r="B88" s="6" t="s">
        <v>215</v>
      </c>
      <c r="C88" t="s">
        <v>13</v>
      </c>
      <c r="D88" s="24" t="s">
        <v>13</v>
      </c>
      <c r="E88" s="24" t="s">
        <v>13</v>
      </c>
    </row>
    <row r="89" spans="1:22" ht="15.6" thickTop="1" thickBot="1" x14ac:dyDescent="0.35">
      <c r="A89" s="13">
        <v>8042700</v>
      </c>
      <c r="B89" s="6" t="s">
        <v>10</v>
      </c>
      <c r="C89" t="s">
        <v>497</v>
      </c>
      <c r="D89" s="23">
        <v>45309</v>
      </c>
      <c r="E89" t="s">
        <v>176</v>
      </c>
      <c r="F89" s="11">
        <v>-5.445808862786973E-2</v>
      </c>
      <c r="G89" s="11">
        <v>-9.1152815013404831E-2</v>
      </c>
      <c r="H89" s="11">
        <v>-3.6208732694355698E-2</v>
      </c>
      <c r="I89" s="11">
        <v>-2.0202020202020204E-2</v>
      </c>
      <c r="J89" s="11">
        <v>2.247191011235955E-2</v>
      </c>
      <c r="K89" s="11">
        <v>0</v>
      </c>
      <c r="L89" s="11">
        <v>-9.579100145137881E-2</v>
      </c>
      <c r="M89" s="11">
        <v>-0.22222222222222221</v>
      </c>
      <c r="N89" s="11">
        <v>6.6666666666666666E-2</v>
      </c>
      <c r="O89" s="11">
        <v>-4.3583535108958835E-2</v>
      </c>
      <c r="P89" s="11">
        <v>-3.7735849056603772E-2</v>
      </c>
      <c r="Q89" s="11">
        <v>4.0816326530612242E-2</v>
      </c>
      <c r="R89" s="11">
        <v>0</v>
      </c>
      <c r="S89" s="11">
        <v>-9.0909090909090912E-2</v>
      </c>
      <c r="T89" s="11">
        <v>4.6511627906976744E-2</v>
      </c>
      <c r="U89" s="11">
        <v>0.5</v>
      </c>
      <c r="V89" s="11">
        <v>-0.10526315789473684</v>
      </c>
    </row>
    <row r="90" spans="1:22" ht="15.6" thickTop="1" thickBot="1" x14ac:dyDescent="0.35">
      <c r="A90" s="13">
        <v>8026600</v>
      </c>
      <c r="B90" s="6" t="s">
        <v>75</v>
      </c>
      <c r="C90" t="s">
        <v>13</v>
      </c>
      <c r="D90" s="24" t="s">
        <v>13</v>
      </c>
      <c r="E90" s="24" t="s">
        <v>13</v>
      </c>
    </row>
    <row r="91" spans="1:22" ht="15.6" thickTop="1" thickBot="1" x14ac:dyDescent="0.35">
      <c r="A91" s="13">
        <v>8038300</v>
      </c>
      <c r="B91" s="6" t="s">
        <v>99</v>
      </c>
      <c r="C91" t="s">
        <v>13</v>
      </c>
      <c r="D91" s="24" t="s">
        <v>13</v>
      </c>
      <c r="E91" s="24" t="s">
        <v>13</v>
      </c>
    </row>
    <row r="92" spans="1:22" ht="15.6" thickTop="1" thickBot="1" x14ac:dyDescent="0.35">
      <c r="A92" s="13">
        <v>8026500</v>
      </c>
      <c r="B92" s="6" t="s">
        <v>18</v>
      </c>
      <c r="C92" s="2" t="s">
        <v>497</v>
      </c>
      <c r="D92" s="23">
        <v>45321</v>
      </c>
      <c r="E92" s="2" t="s">
        <v>177</v>
      </c>
      <c r="F92" s="11">
        <v>-6.9557750107342206E-2</v>
      </c>
      <c r="G92" s="11">
        <v>4.2105263157894736E-2</v>
      </c>
      <c r="H92" s="11">
        <v>-0.45161290322580644</v>
      </c>
      <c r="I92" s="11">
        <v>-0.13160333642261354</v>
      </c>
      <c r="J92" s="11">
        <v>-1.3605442176870748E-2</v>
      </c>
      <c r="K92" s="11">
        <v>-5.7142857142857141E-2</v>
      </c>
      <c r="L92" s="11">
        <v>0.10526315789473684</v>
      </c>
      <c r="M92" s="11">
        <v>0.18181818181818182</v>
      </c>
      <c r="N92" s="11">
        <v>0</v>
      </c>
      <c r="O92" s="11">
        <v>0</v>
      </c>
      <c r="P92" s="11">
        <v>-0.73684210526315785</v>
      </c>
      <c r="Q92" s="11">
        <v>0</v>
      </c>
      <c r="R92" s="11">
        <v>-4.5174537987679675E-2</v>
      </c>
      <c r="S92" s="11">
        <v>-1.6065573770491803</v>
      </c>
      <c r="T92" s="11">
        <v>7.1428571428571425E-2</v>
      </c>
      <c r="U92" s="11">
        <v>-1.8848167539267015E-2</v>
      </c>
      <c r="V92" s="11">
        <v>0</v>
      </c>
    </row>
    <row r="93" spans="1:22" ht="15.6" thickTop="1" thickBot="1" x14ac:dyDescent="0.35">
      <c r="A93" s="13">
        <v>8032700</v>
      </c>
      <c r="B93" s="6" t="s">
        <v>199</v>
      </c>
      <c r="C93" t="s">
        <v>13</v>
      </c>
      <c r="D93" s="24" t="s">
        <v>13</v>
      </c>
      <c r="E93" s="24" t="s">
        <v>13</v>
      </c>
    </row>
    <row r="94" spans="1:22" ht="15.6" thickTop="1" thickBot="1" x14ac:dyDescent="0.35">
      <c r="A94" s="13">
        <v>8006100</v>
      </c>
      <c r="B94" s="6" t="s">
        <v>36</v>
      </c>
      <c r="C94" t="s">
        <v>13</v>
      </c>
      <c r="D94" s="24" t="s">
        <v>13</v>
      </c>
      <c r="E94" s="24" t="s">
        <v>13</v>
      </c>
    </row>
    <row r="95" spans="1:22" ht="15.6" thickTop="1" thickBot="1" x14ac:dyDescent="0.35">
      <c r="A95" s="13">
        <v>8025400</v>
      </c>
      <c r="B95" s="6" t="s">
        <v>68</v>
      </c>
      <c r="C95" t="s">
        <v>13</v>
      </c>
      <c r="D95" s="24" t="s">
        <v>13</v>
      </c>
      <c r="E95" s="24" t="s">
        <v>13</v>
      </c>
    </row>
    <row r="96" spans="1:22" ht="15.6" thickTop="1" thickBot="1" x14ac:dyDescent="0.35">
      <c r="A96" s="13">
        <v>8022000</v>
      </c>
      <c r="B96" s="6" t="s">
        <v>60</v>
      </c>
      <c r="C96" t="s">
        <v>13</v>
      </c>
      <c r="D96" s="24" t="s">
        <v>13</v>
      </c>
      <c r="E96" s="24" t="s">
        <v>13</v>
      </c>
    </row>
    <row r="97" spans="1:5" ht="15.6" thickTop="1" thickBot="1" x14ac:dyDescent="0.35">
      <c r="A97" s="13">
        <v>8010200</v>
      </c>
      <c r="B97" s="6" t="s">
        <v>43</v>
      </c>
      <c r="C97" t="s">
        <v>13</v>
      </c>
      <c r="D97" s="24" t="s">
        <v>13</v>
      </c>
      <c r="E97" s="24" t="s">
        <v>13</v>
      </c>
    </row>
    <row r="98" spans="1:5" ht="15.6" thickTop="1" thickBot="1" x14ac:dyDescent="0.35">
      <c r="A98" s="13">
        <v>8054700</v>
      </c>
      <c r="B98" s="6" t="s">
        <v>127</v>
      </c>
      <c r="C98" t="s">
        <v>13</v>
      </c>
      <c r="D98" s="24" t="s">
        <v>13</v>
      </c>
      <c r="E98" s="24" t="s">
        <v>13</v>
      </c>
    </row>
    <row r="99" spans="1:5" ht="15.6" thickTop="1" thickBot="1" x14ac:dyDescent="0.35">
      <c r="A99" s="13">
        <v>8008800</v>
      </c>
      <c r="B99" s="6" t="s">
        <v>185</v>
      </c>
      <c r="C99" t="s">
        <v>13</v>
      </c>
      <c r="D99" s="24" t="s">
        <v>13</v>
      </c>
      <c r="E99" s="24" t="s">
        <v>13</v>
      </c>
    </row>
    <row r="100" spans="1:5" ht="15.6" thickTop="1" thickBot="1" x14ac:dyDescent="0.35">
      <c r="A100" s="13">
        <v>8009500</v>
      </c>
      <c r="B100" s="6" t="s">
        <v>186</v>
      </c>
      <c r="C100" t="s">
        <v>13</v>
      </c>
      <c r="D100" s="24" t="s">
        <v>13</v>
      </c>
      <c r="E100" s="24" t="s">
        <v>13</v>
      </c>
    </row>
    <row r="101" spans="1:5" ht="15.6" thickTop="1" thickBot="1" x14ac:dyDescent="0.35">
      <c r="A101" s="13">
        <v>8005700</v>
      </c>
      <c r="B101" s="6" t="s">
        <v>35</v>
      </c>
      <c r="C101" t="s">
        <v>13</v>
      </c>
      <c r="D101" s="24" t="s">
        <v>13</v>
      </c>
      <c r="E101" s="24" t="s">
        <v>13</v>
      </c>
    </row>
    <row r="102" spans="1:5" ht="15.6" thickTop="1" thickBot="1" x14ac:dyDescent="0.35">
      <c r="A102" s="13">
        <v>8007100</v>
      </c>
      <c r="B102" s="6" t="s">
        <v>184</v>
      </c>
      <c r="C102" t="s">
        <v>13</v>
      </c>
      <c r="D102" s="24" t="s">
        <v>13</v>
      </c>
      <c r="E102" s="24" t="s">
        <v>13</v>
      </c>
    </row>
    <row r="103" spans="1:5" ht="15.6" thickTop="1" thickBot="1" x14ac:dyDescent="0.35">
      <c r="A103" s="13">
        <v>8027600</v>
      </c>
      <c r="B103" s="6" t="s">
        <v>79</v>
      </c>
      <c r="C103" t="s">
        <v>13</v>
      </c>
      <c r="D103" s="24" t="s">
        <v>13</v>
      </c>
      <c r="E103" s="24" t="s">
        <v>13</v>
      </c>
    </row>
    <row r="104" spans="1:5" ht="15.6" thickTop="1" thickBot="1" x14ac:dyDescent="0.35">
      <c r="A104" s="13">
        <v>8054100</v>
      </c>
      <c r="B104" s="6" t="s">
        <v>237</v>
      </c>
      <c r="C104" t="s">
        <v>13</v>
      </c>
      <c r="D104" s="24" t="s">
        <v>13</v>
      </c>
      <c r="E104" s="24" t="s">
        <v>13</v>
      </c>
    </row>
    <row r="105" spans="1:5" ht="15.6" thickTop="1" thickBot="1" x14ac:dyDescent="0.35">
      <c r="A105" s="13">
        <v>8051500</v>
      </c>
      <c r="B105" s="6" t="s">
        <v>230</v>
      </c>
      <c r="C105" t="s">
        <v>13</v>
      </c>
      <c r="D105" s="24" t="s">
        <v>13</v>
      </c>
      <c r="E105" s="24" t="s">
        <v>13</v>
      </c>
    </row>
    <row r="106" spans="1:5" ht="15.6" thickTop="1" thickBot="1" x14ac:dyDescent="0.35">
      <c r="A106" s="13">
        <v>8049800</v>
      </c>
      <c r="B106" s="6" t="s">
        <v>117</v>
      </c>
      <c r="C106" t="s">
        <v>13</v>
      </c>
      <c r="D106" s="24" t="s">
        <v>13</v>
      </c>
      <c r="E106" s="24" t="s">
        <v>13</v>
      </c>
    </row>
    <row r="107" spans="1:5" ht="15.6" thickTop="1" thickBot="1" x14ac:dyDescent="0.35">
      <c r="A107" s="13">
        <v>8054400</v>
      </c>
      <c r="B107" s="6" t="s">
        <v>125</v>
      </c>
      <c r="C107" t="s">
        <v>13</v>
      </c>
      <c r="D107" s="24" t="s">
        <v>13</v>
      </c>
      <c r="E107" s="24" t="s">
        <v>13</v>
      </c>
    </row>
    <row r="108" spans="1:5" ht="15.6" thickTop="1" thickBot="1" x14ac:dyDescent="0.35">
      <c r="A108" s="13">
        <v>8033150</v>
      </c>
      <c r="B108" s="6" t="s">
        <v>200</v>
      </c>
      <c r="C108" t="s">
        <v>13</v>
      </c>
      <c r="D108" s="24" t="s">
        <v>13</v>
      </c>
      <c r="E108" s="24" t="s">
        <v>13</v>
      </c>
    </row>
    <row r="109" spans="1:5" ht="15.6" thickTop="1" thickBot="1" x14ac:dyDescent="0.35">
      <c r="A109" s="13">
        <v>8039900</v>
      </c>
      <c r="B109" s="6" t="s">
        <v>213</v>
      </c>
      <c r="C109" t="s">
        <v>13</v>
      </c>
      <c r="D109" s="24" t="s">
        <v>13</v>
      </c>
      <c r="E109" s="24" t="s">
        <v>13</v>
      </c>
    </row>
    <row r="110" spans="1:5" ht="15.6" thickTop="1" thickBot="1" x14ac:dyDescent="0.35">
      <c r="A110" s="13">
        <v>8030800</v>
      </c>
      <c r="B110" s="6" t="s">
        <v>197</v>
      </c>
      <c r="C110" t="s">
        <v>13</v>
      </c>
      <c r="D110" s="24" t="s">
        <v>13</v>
      </c>
      <c r="E110" s="24" t="s">
        <v>13</v>
      </c>
    </row>
    <row r="111" spans="1:5" ht="15.6" thickTop="1" thickBot="1" x14ac:dyDescent="0.35">
      <c r="A111" s="13">
        <v>8028100</v>
      </c>
      <c r="B111" s="6" t="s">
        <v>80</v>
      </c>
      <c r="C111" t="s">
        <v>13</v>
      </c>
      <c r="D111" s="24" t="s">
        <v>13</v>
      </c>
      <c r="E111" s="24" t="s">
        <v>13</v>
      </c>
    </row>
    <row r="112" spans="1:5" ht="15.6" thickTop="1" thickBot="1" x14ac:dyDescent="0.35">
      <c r="A112" s="13">
        <v>8054900</v>
      </c>
      <c r="B112" s="6" t="s">
        <v>129</v>
      </c>
      <c r="C112" t="s">
        <v>13</v>
      </c>
      <c r="D112" s="24" t="s">
        <v>13</v>
      </c>
      <c r="E112" s="24" t="s">
        <v>13</v>
      </c>
    </row>
    <row r="113" spans="1:22" ht="15.6" thickTop="1" thickBot="1" x14ac:dyDescent="0.35">
      <c r="A113" s="13">
        <v>8023900</v>
      </c>
      <c r="B113" s="6" t="s">
        <v>19</v>
      </c>
      <c r="C113" s="2" t="s">
        <v>497</v>
      </c>
      <c r="D113" s="23">
        <v>45321</v>
      </c>
      <c r="E113" s="2" t="s">
        <v>177</v>
      </c>
      <c r="F113" s="11">
        <v>-4.3070127001656543E-2</v>
      </c>
      <c r="G113" s="11">
        <v>0</v>
      </c>
      <c r="H113" s="11">
        <v>-8.7936865839909811E-2</v>
      </c>
      <c r="I113" s="11" t="s">
        <v>13</v>
      </c>
      <c r="J113" s="11">
        <v>0</v>
      </c>
      <c r="K113" s="11">
        <v>0.16666666666666666</v>
      </c>
      <c r="L113" s="11">
        <v>-1.1363636363636364E-2</v>
      </c>
      <c r="M113" s="11" t="s">
        <v>13</v>
      </c>
      <c r="N113" s="11" t="s">
        <v>13</v>
      </c>
      <c r="O113" s="11">
        <v>-0.10012836970474968</v>
      </c>
      <c r="P113" s="11">
        <v>0</v>
      </c>
      <c r="Q113" s="11" t="s">
        <v>13</v>
      </c>
      <c r="R113" s="11" t="s">
        <v>13</v>
      </c>
      <c r="S113" s="11" t="s">
        <v>13</v>
      </c>
      <c r="T113" s="11">
        <v>-2.197802197802198E-2</v>
      </c>
      <c r="U113" s="11" t="s">
        <v>13</v>
      </c>
      <c r="V113" s="11">
        <v>2.4691358024691357E-2</v>
      </c>
    </row>
    <row r="114" spans="1:22" ht="15.6" thickTop="1" thickBot="1" x14ac:dyDescent="0.35">
      <c r="A114" s="13">
        <v>8023100</v>
      </c>
      <c r="B114" s="6" t="s">
        <v>63</v>
      </c>
      <c r="C114" t="s">
        <v>13</v>
      </c>
      <c r="D114" s="24" t="s">
        <v>13</v>
      </c>
      <c r="E114" s="24" t="s">
        <v>13</v>
      </c>
    </row>
    <row r="115" spans="1:22" ht="15.6" thickTop="1" thickBot="1" x14ac:dyDescent="0.35">
      <c r="A115" s="13">
        <v>8002100</v>
      </c>
      <c r="B115" s="6" t="s">
        <v>180</v>
      </c>
      <c r="C115" t="s">
        <v>497</v>
      </c>
      <c r="D115" s="24" t="s">
        <v>528</v>
      </c>
      <c r="E115" s="24" t="s">
        <v>177</v>
      </c>
      <c r="F115" s="35">
        <v>-4.36E-2</v>
      </c>
      <c r="G115" s="35">
        <v>-3.39E-2</v>
      </c>
      <c r="H115" s="35">
        <v>-2.92E-2</v>
      </c>
      <c r="I115" s="35">
        <v>-0.3226</v>
      </c>
      <c r="J115" s="35">
        <v>-3.0800000000000001E-2</v>
      </c>
      <c r="K115" s="12">
        <v>0</v>
      </c>
      <c r="L115" s="12">
        <v>-3.7699999999999997E-2</v>
      </c>
      <c r="M115" s="12">
        <v>0</v>
      </c>
      <c r="N115" s="12">
        <v>0.24</v>
      </c>
      <c r="O115" s="12">
        <v>-5.5599999999999997E-2</v>
      </c>
      <c r="P115" s="12">
        <v>0</v>
      </c>
      <c r="Q115" s="12">
        <v>-0.4</v>
      </c>
      <c r="R115" s="12">
        <v>2</v>
      </c>
      <c r="S115" s="12">
        <v>-0.4</v>
      </c>
      <c r="T115" s="12">
        <v>-0.1429</v>
      </c>
      <c r="U115" s="12">
        <v>0.15379999999999999</v>
      </c>
      <c r="V115" s="12">
        <v>0</v>
      </c>
    </row>
    <row r="116" spans="1:22" ht="15.6" thickTop="1" thickBot="1" x14ac:dyDescent="0.35">
      <c r="A116" s="13">
        <v>8002000</v>
      </c>
      <c r="B116" s="6" t="s">
        <v>179</v>
      </c>
      <c r="C116" t="s">
        <v>13</v>
      </c>
      <c r="D116" s="24" t="s">
        <v>13</v>
      </c>
      <c r="E116" s="24" t="s">
        <v>13</v>
      </c>
    </row>
    <row r="117" spans="1:22" ht="15.6" thickTop="1" thickBot="1" x14ac:dyDescent="0.35">
      <c r="A117" s="13">
        <v>8018200</v>
      </c>
      <c r="B117" s="6" t="s">
        <v>53</v>
      </c>
      <c r="C117" t="s">
        <v>13</v>
      </c>
      <c r="D117" s="24" t="s">
        <v>13</v>
      </c>
      <c r="E117" s="24" t="s">
        <v>13</v>
      </c>
    </row>
    <row r="118" spans="1:22" ht="15.6" thickTop="1" thickBot="1" x14ac:dyDescent="0.35">
      <c r="A118" s="13">
        <v>8056200</v>
      </c>
      <c r="B118" s="6" t="s">
        <v>136</v>
      </c>
      <c r="C118" t="s">
        <v>13</v>
      </c>
      <c r="D118" s="24" t="s">
        <v>13</v>
      </c>
      <c r="E118" s="24" t="s">
        <v>13</v>
      </c>
    </row>
    <row r="119" spans="1:22" ht="15.6" thickTop="1" thickBot="1" x14ac:dyDescent="0.35">
      <c r="A119" s="13">
        <v>8050600</v>
      </c>
      <c r="B119" s="6" t="s">
        <v>227</v>
      </c>
      <c r="C119" t="s">
        <v>13</v>
      </c>
      <c r="D119" s="24" t="s">
        <v>13</v>
      </c>
      <c r="E119" s="24" t="s">
        <v>13</v>
      </c>
    </row>
    <row r="120" spans="1:22" ht="15.6" thickTop="1" thickBot="1" x14ac:dyDescent="0.35">
      <c r="A120" s="13">
        <v>9010720</v>
      </c>
      <c r="B120" s="6" t="s">
        <v>258</v>
      </c>
      <c r="C120" t="s">
        <v>13</v>
      </c>
      <c r="D120" s="24" t="s">
        <v>13</v>
      </c>
      <c r="E120" s="24" t="s">
        <v>13</v>
      </c>
    </row>
    <row r="121" spans="1:22" ht="15.6" thickTop="1" thickBot="1" x14ac:dyDescent="0.35">
      <c r="A121" s="13">
        <v>8057150</v>
      </c>
      <c r="B121" s="6" t="s">
        <v>140</v>
      </c>
      <c r="C121" t="s">
        <v>13</v>
      </c>
      <c r="D121" s="24" t="s">
        <v>13</v>
      </c>
      <c r="E121" s="24" t="s">
        <v>13</v>
      </c>
    </row>
    <row r="122" spans="1:22" ht="15.6" thickTop="1" thickBot="1" x14ac:dyDescent="0.35">
      <c r="A122" s="13">
        <v>8057100</v>
      </c>
      <c r="B122" s="6" t="s">
        <v>139</v>
      </c>
      <c r="C122" t="s">
        <v>13</v>
      </c>
      <c r="D122" s="24" t="s">
        <v>13</v>
      </c>
      <c r="E122" s="24" t="s">
        <v>13</v>
      </c>
    </row>
    <row r="123" spans="1:22" ht="15.6" thickTop="1" thickBot="1" x14ac:dyDescent="0.35">
      <c r="A123" s="13">
        <v>8054800</v>
      </c>
      <c r="B123" s="6" t="s">
        <v>128</v>
      </c>
      <c r="C123" t="s">
        <v>13</v>
      </c>
      <c r="D123" s="24" t="s">
        <v>13</v>
      </c>
      <c r="E123" s="24" t="s">
        <v>13</v>
      </c>
    </row>
    <row r="124" spans="1:22" ht="15.6" thickTop="1" thickBot="1" x14ac:dyDescent="0.35">
      <c r="A124" s="13">
        <v>8055900</v>
      </c>
      <c r="B124" s="6" t="s">
        <v>134</v>
      </c>
      <c r="C124" t="s">
        <v>13</v>
      </c>
      <c r="D124" s="24" t="s">
        <v>13</v>
      </c>
      <c r="E124" s="24" t="s">
        <v>13</v>
      </c>
    </row>
    <row r="125" spans="1:22" ht="15.6" thickTop="1" thickBot="1" x14ac:dyDescent="0.35">
      <c r="A125" s="13">
        <v>8015400</v>
      </c>
      <c r="B125" s="6" t="s">
        <v>47</v>
      </c>
      <c r="C125" s="2" t="s">
        <v>497</v>
      </c>
      <c r="D125" s="23">
        <v>45322</v>
      </c>
      <c r="E125" s="5" t="s">
        <v>176</v>
      </c>
      <c r="F125" s="11">
        <v>-6.3775510204081634E-2</v>
      </c>
      <c r="G125" s="11">
        <v>4.0404040404040407E-2</v>
      </c>
      <c r="H125" s="11">
        <v>-0.32227488151658767</v>
      </c>
      <c r="I125" s="11">
        <v>8.4507042253521125E-2</v>
      </c>
      <c r="J125" s="11">
        <v>-4.4776119402985072E-2</v>
      </c>
      <c r="K125" s="11">
        <v>0.42857142857142855</v>
      </c>
      <c r="L125" s="11">
        <v>2.2222222222222223E-2</v>
      </c>
      <c r="M125" s="11">
        <v>0</v>
      </c>
      <c r="N125" s="11">
        <v>2.197802197802198E-2</v>
      </c>
      <c r="O125" s="11">
        <v>-0.25605536332179929</v>
      </c>
      <c r="P125" s="11">
        <v>-1.5238095238095237</v>
      </c>
      <c r="Q125" s="11">
        <v>0.14285714285714285</v>
      </c>
      <c r="R125" s="11">
        <v>0.08</v>
      </c>
      <c r="S125" s="11">
        <v>7.5471698113207544E-2</v>
      </c>
      <c r="T125" s="11">
        <v>3.3333333333333333E-2</v>
      </c>
      <c r="U125" s="11">
        <v>-0.13333333333333333</v>
      </c>
      <c r="V125" s="11">
        <v>0.15384615384615385</v>
      </c>
    </row>
    <row r="126" spans="1:22" ht="15.6" thickTop="1" thickBot="1" x14ac:dyDescent="0.35">
      <c r="A126" s="13">
        <v>8047700</v>
      </c>
      <c r="B126" s="6" t="s">
        <v>114</v>
      </c>
      <c r="C126" t="s">
        <v>13</v>
      </c>
      <c r="D126" s="24" t="s">
        <v>13</v>
      </c>
      <c r="E126" s="24" t="s">
        <v>13</v>
      </c>
    </row>
    <row r="127" spans="1:22" ht="15.6" thickTop="1" thickBot="1" x14ac:dyDescent="0.35">
      <c r="A127" s="13">
        <v>8009700</v>
      </c>
      <c r="B127" s="6" t="s">
        <v>42</v>
      </c>
      <c r="C127" t="s">
        <v>13</v>
      </c>
      <c r="D127" s="24" t="s">
        <v>13</v>
      </c>
      <c r="E127" s="24" t="s">
        <v>13</v>
      </c>
    </row>
    <row r="128" spans="1:22" ht="15.6" thickTop="1" thickBot="1" x14ac:dyDescent="0.35">
      <c r="A128" s="13">
        <v>8004400</v>
      </c>
      <c r="B128" s="6" t="s">
        <v>32</v>
      </c>
      <c r="C128" t="s">
        <v>13</v>
      </c>
      <c r="D128" s="24" t="s">
        <v>13</v>
      </c>
      <c r="E128" s="24" t="s">
        <v>13</v>
      </c>
    </row>
    <row r="129" spans="1:22" ht="15.6" thickTop="1" thickBot="1" x14ac:dyDescent="0.35">
      <c r="A129" s="13">
        <v>8055000</v>
      </c>
      <c r="B129" s="6" t="s">
        <v>130</v>
      </c>
      <c r="C129" t="s">
        <v>13</v>
      </c>
      <c r="D129" s="24" t="s">
        <v>13</v>
      </c>
      <c r="E129" s="24" t="s">
        <v>13</v>
      </c>
    </row>
    <row r="130" spans="1:22" ht="15.6" thickTop="1" thickBot="1" x14ac:dyDescent="0.35">
      <c r="A130" s="13">
        <v>8043600</v>
      </c>
      <c r="B130" s="6" t="s">
        <v>109</v>
      </c>
      <c r="C130" t="s">
        <v>13</v>
      </c>
      <c r="D130" s="24" t="s">
        <v>13</v>
      </c>
      <c r="E130" s="24" t="s">
        <v>13</v>
      </c>
    </row>
    <row r="131" spans="1:22" ht="15.6" thickTop="1" thickBot="1" x14ac:dyDescent="0.35">
      <c r="A131" s="13">
        <v>8003000</v>
      </c>
      <c r="B131" s="6" t="s">
        <v>182</v>
      </c>
      <c r="C131" t="s">
        <v>497</v>
      </c>
      <c r="D131" s="23">
        <v>45737</v>
      </c>
      <c r="E131" s="32">
        <v>0.48958333333333331</v>
      </c>
      <c r="F131" s="12">
        <v>8.6E-3</v>
      </c>
      <c r="G131" s="12">
        <v>-1.38E-2</v>
      </c>
      <c r="H131" s="12">
        <v>-1.5299999999999999E-2</v>
      </c>
      <c r="I131" s="12">
        <v>3.6999999999999998E-2</v>
      </c>
      <c r="J131" s="12">
        <v>4.5100000000000001E-2</v>
      </c>
      <c r="K131" s="12">
        <v>-0.5</v>
      </c>
      <c r="L131" s="12">
        <v>0.1106</v>
      </c>
      <c r="M131" s="12">
        <v>5.7099999999999998E-2</v>
      </c>
      <c r="N131" s="12">
        <v>4.4400000000000002E-2</v>
      </c>
      <c r="O131" s="12">
        <v>-1.35E-2</v>
      </c>
      <c r="P131" s="12">
        <v>-7.6899999999999996E-2</v>
      </c>
      <c r="Q131" s="12">
        <v>0</v>
      </c>
      <c r="R131" s="12">
        <v>5.04E-2</v>
      </c>
      <c r="S131" s="12">
        <v>3.2800000000000003E-2</v>
      </c>
      <c r="T131" s="12">
        <v>7.1400000000000005E-2</v>
      </c>
      <c r="U131" s="12">
        <v>6.6199999999999995E-2</v>
      </c>
      <c r="V131" s="12">
        <v>-3.39E-2</v>
      </c>
    </row>
    <row r="132" spans="1:22" ht="15.6" thickTop="1" thickBot="1" x14ac:dyDescent="0.35">
      <c r="A132" s="13">
        <v>8017000</v>
      </c>
      <c r="B132" s="6" t="s">
        <v>50</v>
      </c>
      <c r="C132" t="s">
        <v>497</v>
      </c>
      <c r="D132" s="23">
        <v>45322</v>
      </c>
      <c r="E132" t="s">
        <v>177</v>
      </c>
      <c r="F132" s="11">
        <v>-9.8225340486999588E-2</v>
      </c>
      <c r="G132" s="11">
        <v>0</v>
      </c>
      <c r="H132" s="11">
        <v>0</v>
      </c>
      <c r="I132" s="11">
        <v>-0.13682092555331993</v>
      </c>
      <c r="J132" s="11">
        <v>-9.7794822627037398E-2</v>
      </c>
      <c r="K132" s="11">
        <v>-9.5238095238095233E-2</v>
      </c>
      <c r="L132" s="11">
        <v>7.6923076923076927E-2</v>
      </c>
      <c r="M132" s="11">
        <v>0.15384615384615385</v>
      </c>
      <c r="N132" s="11">
        <v>-0.10256410256410256</v>
      </c>
      <c r="O132" s="11">
        <v>0.14285714285714285</v>
      </c>
      <c r="P132" s="11">
        <v>0</v>
      </c>
      <c r="Q132" s="11">
        <v>-0.18181818181818182</v>
      </c>
      <c r="R132" s="11">
        <v>-0.12446351931330472</v>
      </c>
      <c r="S132" s="11">
        <v>-0.35294117647058826</v>
      </c>
      <c r="T132" s="11">
        <v>-3.5087719298245612E-2</v>
      </c>
      <c r="U132" s="11">
        <v>-0.11510791366906475</v>
      </c>
      <c r="V132" s="11">
        <v>-2.1052631578947368E-2</v>
      </c>
    </row>
    <row r="133" spans="1:22" ht="15.6" thickTop="1" thickBot="1" x14ac:dyDescent="0.35">
      <c r="A133" s="13">
        <v>8019100</v>
      </c>
      <c r="B133" s="6" t="s">
        <v>55</v>
      </c>
      <c r="C133" t="s">
        <v>13</v>
      </c>
      <c r="D133" s="24" t="s">
        <v>13</v>
      </c>
      <c r="E133" s="24" t="s">
        <v>13</v>
      </c>
    </row>
    <row r="134" spans="1:22" ht="15.6" thickTop="1" thickBot="1" x14ac:dyDescent="0.35">
      <c r="A134" s="13">
        <v>8009900</v>
      </c>
      <c r="B134" s="6" t="s">
        <v>187</v>
      </c>
      <c r="C134" t="s">
        <v>13</v>
      </c>
      <c r="D134" s="24" t="s">
        <v>13</v>
      </c>
      <c r="E134" s="24" t="s">
        <v>13</v>
      </c>
    </row>
    <row r="135" spans="1:22" ht="15.6" thickTop="1" thickBot="1" x14ac:dyDescent="0.35">
      <c r="A135" s="13">
        <v>8007200</v>
      </c>
      <c r="B135" s="6" t="s">
        <v>37</v>
      </c>
      <c r="C135" t="s">
        <v>13</v>
      </c>
      <c r="D135" s="24" t="s">
        <v>13</v>
      </c>
      <c r="E135" s="24" t="s">
        <v>13</v>
      </c>
    </row>
    <row r="136" spans="1:22" ht="15.6" thickTop="1" thickBot="1" x14ac:dyDescent="0.35">
      <c r="A136" s="13">
        <v>8049500</v>
      </c>
      <c r="B136" s="6" t="s">
        <v>225</v>
      </c>
      <c r="C136" t="s">
        <v>13</v>
      </c>
      <c r="D136" s="24" t="s">
        <v>13</v>
      </c>
      <c r="E136" s="24" t="s">
        <v>13</v>
      </c>
    </row>
    <row r="137" spans="1:22" ht="15.6" thickTop="1" thickBot="1" x14ac:dyDescent="0.35">
      <c r="A137" s="13">
        <v>8048800</v>
      </c>
      <c r="B137" s="6" t="s">
        <v>222</v>
      </c>
      <c r="C137" t="s">
        <v>13</v>
      </c>
      <c r="D137" s="24" t="s">
        <v>13</v>
      </c>
      <c r="E137" s="24" t="s">
        <v>13</v>
      </c>
    </row>
    <row r="138" spans="1:22" ht="15.6" thickTop="1" thickBot="1" x14ac:dyDescent="0.35">
      <c r="A138" s="13">
        <v>8048100</v>
      </c>
      <c r="B138" s="6" t="s">
        <v>218</v>
      </c>
      <c r="C138" t="s">
        <v>13</v>
      </c>
      <c r="D138" s="24" t="s">
        <v>13</v>
      </c>
      <c r="E138" s="24" t="s">
        <v>13</v>
      </c>
    </row>
    <row r="139" spans="1:22" ht="15.6" thickTop="1" thickBot="1" x14ac:dyDescent="0.35">
      <c r="A139" s="13">
        <v>8049700</v>
      </c>
      <c r="B139" s="6" t="s">
        <v>226</v>
      </c>
      <c r="C139" t="s">
        <v>13</v>
      </c>
      <c r="D139" s="24" t="s">
        <v>13</v>
      </c>
      <c r="E139" s="24" t="s">
        <v>13</v>
      </c>
    </row>
    <row r="140" spans="1:22" ht="15.6" thickTop="1" thickBot="1" x14ac:dyDescent="0.35">
      <c r="A140" s="13">
        <v>8049400</v>
      </c>
      <c r="B140" s="6" t="s">
        <v>224</v>
      </c>
      <c r="C140" t="s">
        <v>13</v>
      </c>
      <c r="D140" s="24" t="s">
        <v>13</v>
      </c>
      <c r="E140" s="24" t="s">
        <v>13</v>
      </c>
    </row>
    <row r="141" spans="1:22" ht="15.6" thickTop="1" thickBot="1" x14ac:dyDescent="0.35">
      <c r="A141" s="13">
        <v>8038100</v>
      </c>
      <c r="B141" s="6" t="s">
        <v>212</v>
      </c>
      <c r="C141" t="s">
        <v>13</v>
      </c>
      <c r="D141" s="24" t="s">
        <v>13</v>
      </c>
      <c r="E141" s="24" t="s">
        <v>13</v>
      </c>
    </row>
    <row r="142" spans="1:22" ht="15.6" thickTop="1" thickBot="1" x14ac:dyDescent="0.35">
      <c r="A142" s="13">
        <v>8050900</v>
      </c>
      <c r="B142" s="6" t="s">
        <v>228</v>
      </c>
      <c r="C142" t="s">
        <v>13</v>
      </c>
      <c r="D142" s="24" t="s">
        <v>13</v>
      </c>
      <c r="E142" s="24" t="s">
        <v>13</v>
      </c>
    </row>
    <row r="143" spans="1:22" ht="15.6" thickTop="1" thickBot="1" x14ac:dyDescent="0.35">
      <c r="A143" s="13">
        <v>8057700</v>
      </c>
      <c r="B143" s="6" t="s">
        <v>240</v>
      </c>
      <c r="C143" t="s">
        <v>13</v>
      </c>
      <c r="D143" s="24" t="s">
        <v>13</v>
      </c>
      <c r="E143" s="24" t="s">
        <v>13</v>
      </c>
    </row>
    <row r="144" spans="1:22" ht="15.6" thickTop="1" thickBot="1" x14ac:dyDescent="0.35">
      <c r="A144" s="13">
        <v>8004800</v>
      </c>
      <c r="B144" s="6" t="s">
        <v>33</v>
      </c>
      <c r="C144" t="s">
        <v>13</v>
      </c>
      <c r="D144" s="24" t="s">
        <v>13</v>
      </c>
      <c r="E144" s="24" t="s">
        <v>13</v>
      </c>
    </row>
    <row r="145" spans="1:22" ht="15.6" thickTop="1" thickBot="1" x14ac:dyDescent="0.35">
      <c r="A145" s="13">
        <v>8020600</v>
      </c>
      <c r="B145" s="6" t="s">
        <v>57</v>
      </c>
      <c r="C145" t="s">
        <v>13</v>
      </c>
      <c r="D145" s="24" t="s">
        <v>13</v>
      </c>
      <c r="E145" s="24" t="s">
        <v>13</v>
      </c>
    </row>
    <row r="146" spans="1:22" ht="15.6" thickTop="1" thickBot="1" x14ac:dyDescent="0.35">
      <c r="A146" s="13">
        <v>8042500</v>
      </c>
      <c r="B146" s="6" t="s">
        <v>107</v>
      </c>
      <c r="C146" t="s">
        <v>13</v>
      </c>
      <c r="D146" s="24" t="s">
        <v>13</v>
      </c>
      <c r="E146" s="24" t="s">
        <v>13</v>
      </c>
    </row>
    <row r="147" spans="1:22" ht="15.6" thickTop="1" thickBot="1" x14ac:dyDescent="0.35">
      <c r="A147" s="13">
        <v>8028800</v>
      </c>
      <c r="B147" s="6" t="s">
        <v>82</v>
      </c>
      <c r="C147" t="s">
        <v>13</v>
      </c>
      <c r="D147" s="24" t="s">
        <v>13</v>
      </c>
      <c r="E147" s="24" t="s">
        <v>13</v>
      </c>
    </row>
    <row r="148" spans="1:22" ht="15.6" thickTop="1" thickBot="1" x14ac:dyDescent="0.35">
      <c r="A148" s="13">
        <v>8023800</v>
      </c>
      <c r="B148" s="6" t="s">
        <v>64</v>
      </c>
      <c r="C148" t="s">
        <v>13</v>
      </c>
      <c r="D148" s="24" t="s">
        <v>13</v>
      </c>
      <c r="E148" s="24" t="s">
        <v>13</v>
      </c>
    </row>
    <row r="149" spans="1:22" ht="15.6" thickTop="1" thickBot="1" x14ac:dyDescent="0.35">
      <c r="A149" s="13">
        <v>8052800</v>
      </c>
      <c r="B149" s="6" t="s">
        <v>235</v>
      </c>
      <c r="C149" t="s">
        <v>13</v>
      </c>
      <c r="D149" s="24" t="s">
        <v>13</v>
      </c>
      <c r="E149" s="24" t="s">
        <v>13</v>
      </c>
    </row>
    <row r="150" spans="1:22" ht="15.6" thickTop="1" thickBot="1" x14ac:dyDescent="0.35">
      <c r="A150" s="13">
        <v>8001200</v>
      </c>
      <c r="B150" s="6" t="s">
        <v>3</v>
      </c>
      <c r="C150" s="2" t="s">
        <v>497</v>
      </c>
      <c r="D150" s="23">
        <v>45299</v>
      </c>
      <c r="E150" s="2" t="s">
        <v>176</v>
      </c>
      <c r="F150" s="11">
        <v>1.3225569434239529E-2</v>
      </c>
      <c r="G150" s="11">
        <v>2.0477815699658702E-2</v>
      </c>
      <c r="H150" s="11">
        <v>-2.0876826722338204E-2</v>
      </c>
      <c r="I150" s="11">
        <v>8.6021505376344093E-2</v>
      </c>
      <c r="J150" s="11">
        <v>0</v>
      </c>
      <c r="K150" s="11">
        <v>-9.5238095238095233E-2</v>
      </c>
      <c r="L150" s="11">
        <v>2.5862068965517241E-2</v>
      </c>
      <c r="M150" s="11">
        <v>1.9801980198019802E-2</v>
      </c>
      <c r="N150" s="11">
        <v>0.1</v>
      </c>
      <c r="O150" s="11">
        <v>-2.4691358024691357E-2</v>
      </c>
      <c r="P150" s="11">
        <v>-0.11764705882352941</v>
      </c>
      <c r="Q150" s="11">
        <v>9.7560975609756101E-2</v>
      </c>
      <c r="R150" s="11">
        <v>0.125</v>
      </c>
      <c r="S150" s="11">
        <v>5.5555555555555552E-2</v>
      </c>
      <c r="T150" s="11">
        <v>-8.3333333333333329E-2</v>
      </c>
      <c r="U150" s="11">
        <v>4.6511627906976744E-2</v>
      </c>
      <c r="V150" s="11">
        <v>0.10526315789473684</v>
      </c>
    </row>
    <row r="151" spans="1:22" ht="15.6" thickTop="1" thickBot="1" x14ac:dyDescent="0.35">
      <c r="A151" s="13">
        <v>8005400</v>
      </c>
      <c r="B151" s="6" t="s">
        <v>20</v>
      </c>
      <c r="C151" s="2" t="s">
        <v>497</v>
      </c>
      <c r="D151" s="23">
        <v>45321</v>
      </c>
      <c r="E151" s="2" t="s">
        <v>177</v>
      </c>
      <c r="F151" s="11">
        <v>-0.27252252252252251</v>
      </c>
      <c r="G151" s="11">
        <v>-0.20767494356659141</v>
      </c>
      <c r="H151" s="11">
        <v>-0.3884514435695538</v>
      </c>
      <c r="I151" s="11">
        <v>-3.9215686274509803E-2</v>
      </c>
      <c r="J151" s="11">
        <v>0</v>
      </c>
      <c r="K151" s="11">
        <v>-0.90909090909090906</v>
      </c>
      <c r="L151" s="11">
        <v>-0.20070838252656434</v>
      </c>
      <c r="M151" s="11">
        <v>-0.14285714285714285</v>
      </c>
      <c r="N151" s="11">
        <v>-0.4</v>
      </c>
      <c r="O151" s="11">
        <v>-0.39673913043478259</v>
      </c>
      <c r="P151" s="11">
        <v>0</v>
      </c>
      <c r="Q151" s="11">
        <v>-8.3333333333333329E-2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</row>
    <row r="152" spans="1:22" ht="15.6" thickTop="1" thickBot="1" x14ac:dyDescent="0.35">
      <c r="A152" s="13">
        <v>8045200</v>
      </c>
      <c r="B152" s="6" t="s">
        <v>111</v>
      </c>
      <c r="C152" t="s">
        <v>13</v>
      </c>
      <c r="D152" s="24" t="s">
        <v>13</v>
      </c>
      <c r="E152" s="24" t="s">
        <v>13</v>
      </c>
    </row>
    <row r="153" spans="1:22" ht="15.6" thickTop="1" thickBot="1" x14ac:dyDescent="0.35">
      <c r="A153" s="13">
        <v>8001100</v>
      </c>
      <c r="B153" s="6" t="s">
        <v>21</v>
      </c>
      <c r="C153" t="s">
        <v>497</v>
      </c>
      <c r="D153" s="23">
        <v>45329</v>
      </c>
      <c r="E153" t="s">
        <v>174</v>
      </c>
      <c r="F153" s="11">
        <v>-6.8170426065162909E-2</v>
      </c>
      <c r="G153" s="11">
        <v>-5.6338028169014088E-3</v>
      </c>
      <c r="H153" s="11">
        <v>-5.4968287526427059E-2</v>
      </c>
      <c r="I153" s="11">
        <v>-6.8796068796068796E-2</v>
      </c>
      <c r="J153" s="11">
        <v>-0.13562231759656651</v>
      </c>
      <c r="K153" s="11">
        <v>-0.26737967914438504</v>
      </c>
      <c r="L153" s="11">
        <v>5.0251256281407038E-2</v>
      </c>
      <c r="M153" s="11">
        <v>4.878048780487805E-2</v>
      </c>
      <c r="N153" s="11">
        <v>-0.23076923076923078</v>
      </c>
      <c r="O153" s="11">
        <v>2.0618556701030927E-2</v>
      </c>
      <c r="P153" s="11">
        <v>-0.16666666666666666</v>
      </c>
      <c r="Q153" s="11">
        <v>-0.21468926553672316</v>
      </c>
      <c r="R153" s="11">
        <v>-1.0968921389396709E-2</v>
      </c>
      <c r="S153" s="11">
        <v>-0.13333333333333333</v>
      </c>
      <c r="T153" s="11">
        <v>-0.30598669623059865</v>
      </c>
      <c r="U153" s="11">
        <v>-1.2958963282937365E-2</v>
      </c>
      <c r="V153" s="11">
        <v>-5.5776892430278883E-2</v>
      </c>
    </row>
    <row r="154" spans="1:22" ht="15.6" thickTop="1" thickBot="1" x14ac:dyDescent="0.35">
      <c r="A154" s="13">
        <v>8001000</v>
      </c>
      <c r="B154" s="6" t="s">
        <v>22</v>
      </c>
      <c r="C154" s="2" t="s">
        <v>497</v>
      </c>
      <c r="D154" s="23">
        <v>45329</v>
      </c>
      <c r="E154" s="2" t="s">
        <v>174</v>
      </c>
      <c r="F154" s="11">
        <v>-4.23529411764706E-2</v>
      </c>
      <c r="G154" s="11">
        <v>-5.0847457627118647E-2</v>
      </c>
      <c r="H154" s="11">
        <v>-3.8834951456310676E-2</v>
      </c>
      <c r="I154" s="11">
        <v>-4.4692737430167599E-2</v>
      </c>
      <c r="J154" s="11">
        <v>-2.553191489361702E-2</v>
      </c>
      <c r="K154" s="11">
        <v>2.197802197802198E-2</v>
      </c>
      <c r="L154" s="11">
        <v>3.4013605442176874E-2</v>
      </c>
      <c r="M154" s="11">
        <v>-2</v>
      </c>
      <c r="N154" s="11">
        <v>-2.6315789473684209E-2</v>
      </c>
      <c r="O154" s="11">
        <v>8.8888888888888892E-2</v>
      </c>
      <c r="P154" s="11">
        <v>-2</v>
      </c>
      <c r="Q154" s="11">
        <v>-5.7142857142857141E-2</v>
      </c>
      <c r="R154" s="11">
        <v>-0.14173228346456693</v>
      </c>
      <c r="S154" s="11">
        <v>2.0408163265306121E-2</v>
      </c>
      <c r="T154" s="11">
        <v>0.1276595744680851</v>
      </c>
      <c r="U154" s="11">
        <v>7.407407407407407E-2</v>
      </c>
      <c r="V154" s="11">
        <v>-0.41509433962264153</v>
      </c>
    </row>
    <row r="155" spans="1:22" ht="15.6" thickTop="1" thickBot="1" x14ac:dyDescent="0.35">
      <c r="A155" s="13">
        <v>8019700</v>
      </c>
      <c r="B155" s="6" t="s">
        <v>56</v>
      </c>
      <c r="C155" t="s">
        <v>13</v>
      </c>
      <c r="D155" s="24" t="s">
        <v>13</v>
      </c>
      <c r="E155" s="24" t="s">
        <v>13</v>
      </c>
    </row>
    <row r="156" spans="1:22" ht="15.6" thickTop="1" thickBot="1" x14ac:dyDescent="0.35">
      <c r="A156" s="13">
        <v>8003600</v>
      </c>
      <c r="B156" s="6" t="s">
        <v>183</v>
      </c>
      <c r="C156" t="s">
        <v>13</v>
      </c>
      <c r="D156" s="24" t="s">
        <v>13</v>
      </c>
      <c r="E156" s="24" t="s">
        <v>13</v>
      </c>
    </row>
    <row r="157" spans="1:22" ht="15.6" thickTop="1" thickBot="1" x14ac:dyDescent="0.35">
      <c r="A157" s="13">
        <v>8018900</v>
      </c>
      <c r="B157" s="6" t="s">
        <v>54</v>
      </c>
      <c r="C157" t="s">
        <v>13</v>
      </c>
      <c r="D157" s="24" t="s">
        <v>13</v>
      </c>
      <c r="E157" s="24" t="s">
        <v>13</v>
      </c>
    </row>
    <row r="158" spans="1:22" ht="15.6" thickTop="1" thickBot="1" x14ac:dyDescent="0.35">
      <c r="A158" s="13">
        <v>8013000</v>
      </c>
      <c r="B158" s="6" t="s">
        <v>45</v>
      </c>
      <c r="C158" t="s">
        <v>13</v>
      </c>
      <c r="D158" s="24" t="s">
        <v>13</v>
      </c>
      <c r="E158" s="24" t="s">
        <v>13</v>
      </c>
    </row>
    <row r="159" spans="1:22" ht="15.6" thickTop="1" thickBot="1" x14ac:dyDescent="0.35">
      <c r="A159" s="13">
        <v>8021900</v>
      </c>
      <c r="B159" s="6" t="s">
        <v>59</v>
      </c>
      <c r="C159" t="s">
        <v>13</v>
      </c>
      <c r="D159" s="24" t="s">
        <v>13</v>
      </c>
      <c r="E159" s="24" t="s">
        <v>177</v>
      </c>
    </row>
    <row r="160" spans="1:22" ht="15.6" thickTop="1" thickBot="1" x14ac:dyDescent="0.35">
      <c r="A160" s="13">
        <v>8007400</v>
      </c>
      <c r="B160" s="6" t="s">
        <v>38</v>
      </c>
      <c r="C160" t="s">
        <v>13</v>
      </c>
      <c r="D160" s="24" t="s">
        <v>13</v>
      </c>
      <c r="E160" s="24" t="s">
        <v>13</v>
      </c>
    </row>
    <row r="161" spans="1:22" ht="15.6" thickTop="1" thickBot="1" x14ac:dyDescent="0.35">
      <c r="A161" s="13">
        <v>8003900</v>
      </c>
      <c r="B161" s="6" t="s">
        <v>30</v>
      </c>
      <c r="C161" t="s">
        <v>13</v>
      </c>
      <c r="D161" s="24" t="s">
        <v>13</v>
      </c>
      <c r="E161" s="24" t="s">
        <v>13</v>
      </c>
    </row>
    <row r="162" spans="1:22" ht="15.6" thickTop="1" thickBot="1" x14ac:dyDescent="0.35">
      <c r="A162" s="13">
        <v>8004000</v>
      </c>
      <c r="B162" s="6" t="s">
        <v>31</v>
      </c>
      <c r="C162" t="s">
        <v>13</v>
      </c>
      <c r="D162" s="24" t="s">
        <v>13</v>
      </c>
      <c r="E162" s="24" t="s">
        <v>13</v>
      </c>
    </row>
    <row r="163" spans="1:22" ht="15.6" thickTop="1" thickBot="1" x14ac:dyDescent="0.35">
      <c r="A163" s="13">
        <v>8028500</v>
      </c>
      <c r="B163" s="6" t="s">
        <v>81</v>
      </c>
      <c r="C163" t="s">
        <v>13</v>
      </c>
      <c r="D163" s="24" t="s">
        <v>13</v>
      </c>
      <c r="E163" s="24" t="s">
        <v>13</v>
      </c>
    </row>
    <row r="164" spans="1:22" ht="15.6" thickTop="1" thickBot="1" x14ac:dyDescent="0.35">
      <c r="A164" s="13">
        <v>8023600</v>
      </c>
      <c r="B164" s="6" t="s">
        <v>193</v>
      </c>
      <c r="C164" t="s">
        <v>13</v>
      </c>
      <c r="D164" s="24" t="s">
        <v>13</v>
      </c>
      <c r="E164" s="24" t="s">
        <v>13</v>
      </c>
    </row>
    <row r="165" spans="1:22" ht="15.6" thickTop="1" thickBot="1" x14ac:dyDescent="0.35">
      <c r="A165" s="13">
        <v>8003100</v>
      </c>
      <c r="B165" s="6" t="s">
        <v>29</v>
      </c>
      <c r="C165" t="s">
        <v>13</v>
      </c>
      <c r="D165" s="24" t="s">
        <v>13</v>
      </c>
      <c r="E165" s="24" t="s">
        <v>13</v>
      </c>
    </row>
    <row r="166" spans="1:22" ht="15.6" thickTop="1" thickBot="1" x14ac:dyDescent="0.35">
      <c r="A166" s="13">
        <v>8007600</v>
      </c>
      <c r="B166" s="6" t="s">
        <v>39</v>
      </c>
      <c r="C166" t="s">
        <v>13</v>
      </c>
      <c r="D166" s="24" t="s">
        <v>13</v>
      </c>
      <c r="E166" s="24" t="s">
        <v>13</v>
      </c>
    </row>
    <row r="167" spans="1:22" ht="15.6" thickTop="1" thickBot="1" x14ac:dyDescent="0.35">
      <c r="A167" s="13">
        <v>8048900</v>
      </c>
      <c r="B167" s="6" t="s">
        <v>115</v>
      </c>
      <c r="C167" t="s">
        <v>13</v>
      </c>
      <c r="D167" s="24" t="s">
        <v>13</v>
      </c>
      <c r="E167" s="24" t="s">
        <v>13</v>
      </c>
    </row>
    <row r="168" spans="1:22" ht="15.6" thickTop="1" thickBot="1" x14ac:dyDescent="0.35">
      <c r="A168" s="13">
        <v>8002900</v>
      </c>
      <c r="B168" s="6" t="s">
        <v>181</v>
      </c>
      <c r="C168" t="s">
        <v>497</v>
      </c>
      <c r="D168" s="24" t="s">
        <v>530</v>
      </c>
      <c r="E168" s="24" t="s">
        <v>177</v>
      </c>
      <c r="F168" s="35">
        <v>-3.2199999999999999E-2</v>
      </c>
      <c r="G168" s="12">
        <v>-3.8699999999999998E-2</v>
      </c>
      <c r="H168" s="12">
        <v>-3.8899999999999997E-2</v>
      </c>
      <c r="I168" s="12">
        <v>0</v>
      </c>
      <c r="J168" s="12">
        <v>4.4400000000000002E-2</v>
      </c>
      <c r="K168" s="12">
        <v>-0.54549999999999998</v>
      </c>
      <c r="L168" s="12">
        <v>-2.0299999999999999E-2</v>
      </c>
      <c r="M168" s="12">
        <v>0</v>
      </c>
      <c r="N168" s="12">
        <v>0</v>
      </c>
      <c r="O168" s="12">
        <v>-4.1500000000000002E-2</v>
      </c>
      <c r="P168" s="12">
        <v>0</v>
      </c>
      <c r="Q168" s="12">
        <v>0</v>
      </c>
      <c r="R168" s="12">
        <v>0</v>
      </c>
      <c r="S168" s="12">
        <v>0</v>
      </c>
      <c r="T168" s="12">
        <v>0</v>
      </c>
      <c r="U168" s="12">
        <v>0</v>
      </c>
      <c r="V168" s="12">
        <v>9.5200000000000007E-2</v>
      </c>
    </row>
    <row r="169" spans="1:22" ht="15.6" thickTop="1" thickBot="1" x14ac:dyDescent="0.35">
      <c r="A169" s="13">
        <v>8015700</v>
      </c>
      <c r="B169" s="6" t="s">
        <v>48</v>
      </c>
      <c r="C169" s="2" t="s">
        <v>497</v>
      </c>
      <c r="D169" s="23">
        <v>45322</v>
      </c>
      <c r="E169" s="5" t="s">
        <v>177</v>
      </c>
      <c r="F169" s="11">
        <v>-0.1364190012180268</v>
      </c>
      <c r="G169" s="11">
        <v>-0.11435832274459974</v>
      </c>
      <c r="H169" s="11">
        <v>-0.18901098901098901</v>
      </c>
      <c r="I169" s="11">
        <v>-0.19834710743801653</v>
      </c>
      <c r="J169" s="11">
        <v>0</v>
      </c>
      <c r="K169" s="11">
        <v>-0.34343434343434343</v>
      </c>
      <c r="L169" s="11">
        <v>-0.12037037037037036</v>
      </c>
      <c r="M169" s="11">
        <v>-1.5625E-2</v>
      </c>
      <c r="N169" s="11">
        <v>-0.4</v>
      </c>
      <c r="O169" s="11">
        <v>-0.18779342723004694</v>
      </c>
      <c r="P169" s="11">
        <v>0.22222222222222221</v>
      </c>
      <c r="Q169" s="11">
        <v>-0.24299065420560748</v>
      </c>
      <c r="R169" s="11">
        <v>0.18181818181818182</v>
      </c>
      <c r="S169" s="11">
        <v>0.11764705882352941</v>
      </c>
      <c r="T169" s="11">
        <v>0</v>
      </c>
      <c r="U169" s="11">
        <v>0</v>
      </c>
      <c r="V169" s="11">
        <v>0</v>
      </c>
    </row>
    <row r="170" spans="1:22" ht="15.6" thickTop="1" thickBot="1" x14ac:dyDescent="0.35">
      <c r="A170" s="13">
        <v>8035300</v>
      </c>
      <c r="B170" s="6" t="s">
        <v>95</v>
      </c>
      <c r="C170" t="s">
        <v>13</v>
      </c>
      <c r="D170" s="24" t="s">
        <v>13</v>
      </c>
      <c r="E170" s="24" t="s">
        <v>13</v>
      </c>
    </row>
    <row r="171" spans="1:22" ht="15.6" thickTop="1" thickBot="1" x14ac:dyDescent="0.35">
      <c r="A171" s="13">
        <v>8028000</v>
      </c>
      <c r="B171" s="6" t="s">
        <v>196</v>
      </c>
      <c r="C171" t="s">
        <v>13</v>
      </c>
      <c r="D171" s="24" t="s">
        <v>13</v>
      </c>
      <c r="E171" s="24" t="s">
        <v>13</v>
      </c>
    </row>
    <row r="172" spans="1:22" ht="15.6" thickTop="1" thickBot="1" x14ac:dyDescent="0.35">
      <c r="A172" s="13">
        <v>8055950</v>
      </c>
      <c r="B172" s="6" t="s">
        <v>521</v>
      </c>
      <c r="C172" t="s">
        <v>13</v>
      </c>
      <c r="D172" s="24" t="s">
        <v>13</v>
      </c>
      <c r="E172" s="24" t="s">
        <v>13</v>
      </c>
    </row>
    <row r="173" spans="1:22" ht="15.6" thickTop="1" thickBot="1" x14ac:dyDescent="0.35">
      <c r="A173" s="13">
        <v>8057400</v>
      </c>
      <c r="B173" s="6" t="s">
        <v>143</v>
      </c>
      <c r="C173" t="s">
        <v>13</v>
      </c>
      <c r="D173" s="24" t="s">
        <v>13</v>
      </c>
      <c r="E173" s="24" t="s">
        <v>13</v>
      </c>
    </row>
    <row r="174" spans="1:22" ht="15.6" thickTop="1" thickBot="1" x14ac:dyDescent="0.35">
      <c r="A174" s="13">
        <v>8057800</v>
      </c>
      <c r="B174" s="6" t="s">
        <v>241</v>
      </c>
      <c r="C174" t="s">
        <v>13</v>
      </c>
      <c r="D174" s="24" t="s">
        <v>13</v>
      </c>
      <c r="E174" s="24" t="s">
        <v>13</v>
      </c>
    </row>
    <row r="175" spans="1:22" ht="15.6" thickTop="1" thickBot="1" x14ac:dyDescent="0.35">
      <c r="A175" s="13">
        <v>8057350</v>
      </c>
      <c r="B175" s="6" t="s">
        <v>142</v>
      </c>
      <c r="C175" t="s">
        <v>13</v>
      </c>
      <c r="D175" s="24" t="s">
        <v>13</v>
      </c>
      <c r="E175" s="24" t="s">
        <v>13</v>
      </c>
    </row>
    <row r="176" spans="1:22" ht="15.6" thickTop="1" thickBot="1" x14ac:dyDescent="0.35">
      <c r="A176" s="13">
        <v>8057450</v>
      </c>
      <c r="B176" s="6" t="s">
        <v>144</v>
      </c>
      <c r="C176" t="s">
        <v>13</v>
      </c>
      <c r="D176" s="24" t="s">
        <v>13</v>
      </c>
      <c r="E176" s="24" t="s">
        <v>13</v>
      </c>
    </row>
    <row r="177" spans="1:22" ht="15.6" thickTop="1" thickBot="1" x14ac:dyDescent="0.35">
      <c r="A177" s="13">
        <v>8057650</v>
      </c>
      <c r="B177" s="6" t="s">
        <v>148</v>
      </c>
      <c r="C177" t="s">
        <v>13</v>
      </c>
      <c r="D177" s="24" t="s">
        <v>13</v>
      </c>
      <c r="E177" s="24" t="s">
        <v>13</v>
      </c>
    </row>
    <row r="178" spans="1:22" ht="15.6" thickTop="1" thickBot="1" x14ac:dyDescent="0.35">
      <c r="A178" s="13">
        <v>8057500</v>
      </c>
      <c r="B178" s="6" t="s">
        <v>145</v>
      </c>
      <c r="C178" t="s">
        <v>13</v>
      </c>
      <c r="D178" s="24" t="s">
        <v>13</v>
      </c>
      <c r="E178" s="24" t="s">
        <v>13</v>
      </c>
    </row>
    <row r="179" spans="1:22" ht="15.6" thickTop="1" thickBot="1" x14ac:dyDescent="0.35">
      <c r="A179" s="13">
        <v>8057550</v>
      </c>
      <c r="B179" s="6" t="s">
        <v>146</v>
      </c>
      <c r="C179" t="s">
        <v>13</v>
      </c>
      <c r="D179" s="24" t="s">
        <v>13</v>
      </c>
      <c r="E179" s="24" t="s">
        <v>13</v>
      </c>
    </row>
    <row r="180" spans="1:22" ht="15.6" thickTop="1" thickBot="1" x14ac:dyDescent="0.35">
      <c r="A180" s="13">
        <v>8057600</v>
      </c>
      <c r="B180" s="6" t="s">
        <v>147</v>
      </c>
      <c r="C180" t="s">
        <v>13</v>
      </c>
      <c r="D180" s="24" t="s">
        <v>13</v>
      </c>
      <c r="E180" s="24" t="s">
        <v>13</v>
      </c>
    </row>
    <row r="181" spans="1:22" ht="15.6" thickTop="1" thickBot="1" x14ac:dyDescent="0.35">
      <c r="A181" s="13">
        <v>8061200</v>
      </c>
      <c r="B181" s="6" t="s">
        <v>251</v>
      </c>
      <c r="C181" t="s">
        <v>13</v>
      </c>
      <c r="D181" s="24" t="s">
        <v>13</v>
      </c>
      <c r="E181" s="24" t="s">
        <v>13</v>
      </c>
    </row>
    <row r="182" spans="1:22" ht="15.6" thickTop="1" thickBot="1" x14ac:dyDescent="0.35">
      <c r="A182" s="13">
        <v>8039200</v>
      </c>
      <c r="B182" s="6" t="s">
        <v>101</v>
      </c>
      <c r="C182" t="s">
        <v>13</v>
      </c>
      <c r="D182" s="24" t="s">
        <v>13</v>
      </c>
      <c r="E182" s="24" t="s">
        <v>13</v>
      </c>
    </row>
    <row r="183" spans="1:22" ht="15.6" thickTop="1" thickBot="1" x14ac:dyDescent="0.35">
      <c r="A183" s="13">
        <v>8031500</v>
      </c>
      <c r="B183" s="6" t="s">
        <v>85</v>
      </c>
      <c r="C183" t="s">
        <v>13</v>
      </c>
      <c r="D183" s="24" t="s">
        <v>13</v>
      </c>
      <c r="E183" s="24" t="s">
        <v>13</v>
      </c>
    </row>
    <row r="184" spans="1:22" ht="15.6" thickTop="1" thickBot="1" x14ac:dyDescent="0.35">
      <c r="A184" s="13">
        <v>8053500</v>
      </c>
      <c r="B184" s="6" t="s">
        <v>121</v>
      </c>
      <c r="C184" t="s">
        <v>13</v>
      </c>
      <c r="D184" s="24" t="s">
        <v>13</v>
      </c>
      <c r="E184" s="24" t="s">
        <v>13</v>
      </c>
    </row>
    <row r="185" spans="1:22" ht="15.6" thickTop="1" thickBot="1" x14ac:dyDescent="0.35">
      <c r="A185" s="13">
        <v>9010590</v>
      </c>
      <c r="B185" s="6" t="s">
        <v>253</v>
      </c>
      <c r="C185" t="s">
        <v>13</v>
      </c>
      <c r="D185" s="24" t="s">
        <v>13</v>
      </c>
      <c r="E185" s="24" t="s">
        <v>13</v>
      </c>
    </row>
    <row r="186" spans="1:22" ht="15.6" thickTop="1" thickBot="1" x14ac:dyDescent="0.35">
      <c r="A186" s="13">
        <v>9010580</v>
      </c>
      <c r="B186" s="6" t="s">
        <v>252</v>
      </c>
      <c r="C186" t="s">
        <v>13</v>
      </c>
      <c r="D186" s="24" t="s">
        <v>13</v>
      </c>
      <c r="E186" s="24" t="s">
        <v>13</v>
      </c>
    </row>
    <row r="187" spans="1:22" ht="15.6" thickTop="1" thickBot="1" x14ac:dyDescent="0.35">
      <c r="A187" s="13">
        <v>8056150</v>
      </c>
      <c r="B187" s="6" t="s">
        <v>519</v>
      </c>
      <c r="C187" t="s">
        <v>497</v>
      </c>
      <c r="D187" s="23">
        <v>45301</v>
      </c>
      <c r="E187" t="s">
        <v>174</v>
      </c>
      <c r="F187" s="12">
        <v>-0.19175704989154013</v>
      </c>
      <c r="G187" s="12">
        <v>-3.3149171270718231E-2</v>
      </c>
      <c r="H187" s="12">
        <v>-0.81081081081081086</v>
      </c>
      <c r="I187" s="12">
        <v>-0.11182401466544455</v>
      </c>
      <c r="J187" s="12">
        <v>-0.42902208201892744</v>
      </c>
      <c r="K187" s="12">
        <v>-0.14814814814814814</v>
      </c>
      <c r="L187" s="12">
        <v>1.1794871794871795</v>
      </c>
      <c r="M187" s="12">
        <v>0</v>
      </c>
      <c r="N187" s="12">
        <v>-1.0769230769230769</v>
      </c>
      <c r="O187" s="12">
        <v>0.22222222222222221</v>
      </c>
      <c r="P187" s="12">
        <v>-2</v>
      </c>
      <c r="Q187" s="12">
        <v>-1.0857142857142856</v>
      </c>
      <c r="R187" s="12">
        <v>-4.2042042042042045E-2</v>
      </c>
      <c r="S187" s="12">
        <v>-0.18181818181818182</v>
      </c>
      <c r="T187" s="12">
        <v>0.66666666666666663</v>
      </c>
      <c r="U187" s="12">
        <v>-4.2959427207637228E-2</v>
      </c>
      <c r="V187" s="12">
        <v>-1.4136125654450262</v>
      </c>
    </row>
    <row r="188" spans="1:22" ht="15.6" thickTop="1" thickBot="1" x14ac:dyDescent="0.35">
      <c r="A188" s="13">
        <v>8042800</v>
      </c>
      <c r="B188" s="6" t="s">
        <v>108</v>
      </c>
      <c r="C188" t="s">
        <v>13</v>
      </c>
      <c r="D188" s="24" t="s">
        <v>13</v>
      </c>
      <c r="E188" s="24" t="s">
        <v>13</v>
      </c>
    </row>
    <row r="189" spans="1:22" ht="15.6" thickTop="1" thickBot="1" x14ac:dyDescent="0.35">
      <c r="A189" s="13">
        <v>8051600</v>
      </c>
      <c r="B189" s="6" t="s">
        <v>118</v>
      </c>
      <c r="C189" t="s">
        <v>13</v>
      </c>
      <c r="D189" s="24" t="s">
        <v>13</v>
      </c>
      <c r="E189" s="24" t="s">
        <v>13</v>
      </c>
    </row>
    <row r="190" spans="1:22" ht="15.6" thickTop="1" thickBot="1" x14ac:dyDescent="0.35">
      <c r="A190" s="13">
        <v>8052400</v>
      </c>
      <c r="B190" s="6" t="s">
        <v>119</v>
      </c>
      <c r="C190" t="s">
        <v>13</v>
      </c>
      <c r="D190" s="24" t="s">
        <v>13</v>
      </c>
      <c r="E190" s="24" t="s">
        <v>13</v>
      </c>
    </row>
    <row r="191" spans="1:22" ht="15.6" thickTop="1" thickBot="1" x14ac:dyDescent="0.35">
      <c r="A191" s="13">
        <v>8022300</v>
      </c>
      <c r="B191" s="6" t="s">
        <v>61</v>
      </c>
      <c r="C191" t="s">
        <v>13</v>
      </c>
      <c r="D191" s="24" t="s">
        <v>13</v>
      </c>
      <c r="E191" s="24" t="s">
        <v>13</v>
      </c>
    </row>
    <row r="192" spans="1:22" ht="15.6" thickTop="1" thickBot="1" x14ac:dyDescent="0.35">
      <c r="A192" s="13">
        <v>8039600</v>
      </c>
      <c r="B192" s="6" t="s">
        <v>102</v>
      </c>
      <c r="C192" t="s">
        <v>13</v>
      </c>
      <c r="D192" s="24" t="s">
        <v>13</v>
      </c>
      <c r="E192" s="24" t="s">
        <v>13</v>
      </c>
    </row>
    <row r="193" spans="1:22" ht="15.6" thickTop="1" thickBot="1" x14ac:dyDescent="0.35">
      <c r="A193" s="13">
        <v>8027300</v>
      </c>
      <c r="B193" s="6" t="s">
        <v>78</v>
      </c>
      <c r="C193" t="s">
        <v>13</v>
      </c>
      <c r="D193" s="24" t="s">
        <v>13</v>
      </c>
      <c r="E193" s="24" t="s">
        <v>13</v>
      </c>
    </row>
    <row r="194" spans="1:22" ht="15.6" thickTop="1" thickBot="1" x14ac:dyDescent="0.35">
      <c r="A194" s="13">
        <v>8024300</v>
      </c>
      <c r="B194" s="6" t="s">
        <v>66</v>
      </c>
      <c r="C194" t="s">
        <v>13</v>
      </c>
      <c r="D194" s="24" t="s">
        <v>13</v>
      </c>
      <c r="E194" s="24" t="s">
        <v>13</v>
      </c>
    </row>
    <row r="195" spans="1:22" ht="15.6" thickTop="1" thickBot="1" x14ac:dyDescent="0.35">
      <c r="A195" s="13">
        <v>8037500</v>
      </c>
      <c r="B195" s="6" t="s">
        <v>98</v>
      </c>
      <c r="C195" t="s">
        <v>13</v>
      </c>
      <c r="D195" s="24" t="s">
        <v>13</v>
      </c>
      <c r="E195" s="24" t="s">
        <v>13</v>
      </c>
    </row>
    <row r="196" spans="1:22" ht="15.6" thickTop="1" thickBot="1" x14ac:dyDescent="0.35">
      <c r="A196" s="13">
        <v>8024600</v>
      </c>
      <c r="B196" s="6" t="s">
        <v>2</v>
      </c>
      <c r="C196" s="2" t="s">
        <v>497</v>
      </c>
      <c r="D196" s="23">
        <v>45295</v>
      </c>
      <c r="E196" s="2" t="s">
        <v>176</v>
      </c>
      <c r="F196" s="11">
        <v>-5.7950530035335686E-2</v>
      </c>
      <c r="G196" s="11">
        <v>-0.24113475177304963</v>
      </c>
      <c r="H196" s="11">
        <v>-0.13043478260869565</v>
      </c>
      <c r="I196" s="11">
        <v>-3.8461538461538464E-2</v>
      </c>
      <c r="J196" s="11">
        <v>-2.1505376344086023E-2</v>
      </c>
      <c r="K196" s="11">
        <v>3.6363636363636362E-2</v>
      </c>
      <c r="L196" s="11">
        <v>0.18181818181818182</v>
      </c>
      <c r="M196" s="11">
        <v>-0.50666666666666671</v>
      </c>
      <c r="N196" s="11">
        <v>0</v>
      </c>
      <c r="O196" s="11">
        <v>-0.66666666666666663</v>
      </c>
      <c r="P196" s="11">
        <v>-0.43478260869565216</v>
      </c>
      <c r="Q196" s="11">
        <v>0</v>
      </c>
      <c r="R196" s="11">
        <v>3.5087719298245612E-2</v>
      </c>
      <c r="S196" s="11">
        <v>-0.45454545454545453</v>
      </c>
      <c r="T196" s="11">
        <v>0</v>
      </c>
      <c r="U196" s="11">
        <v>2.0120724346076459E-2</v>
      </c>
      <c r="V196" s="11">
        <v>-0.88</v>
      </c>
    </row>
    <row r="197" spans="1:22" ht="15.6" thickTop="1" thickBot="1" x14ac:dyDescent="0.35">
      <c r="A197" s="13">
        <v>8036500</v>
      </c>
      <c r="B197" s="6" t="s">
        <v>96</v>
      </c>
      <c r="C197" t="s">
        <v>13</v>
      </c>
      <c r="D197" s="24" t="s">
        <v>13</v>
      </c>
      <c r="E197" s="24" t="s">
        <v>13</v>
      </c>
    </row>
    <row r="198" spans="1:22" ht="15.6" thickTop="1" thickBot="1" x14ac:dyDescent="0.35">
      <c r="A198" s="13">
        <v>8027900</v>
      </c>
      <c r="B198" s="6" t="s">
        <v>0</v>
      </c>
      <c r="C198" t="s">
        <v>497</v>
      </c>
      <c r="D198" s="23">
        <v>45294</v>
      </c>
      <c r="E198" t="s">
        <v>174</v>
      </c>
      <c r="F198" s="11">
        <v>9.512485136741973E-3</v>
      </c>
      <c r="G198" s="11">
        <v>-5.7142857142857141E-2</v>
      </c>
      <c r="H198" s="11">
        <v>-3.007518796992481E-2</v>
      </c>
      <c r="I198" s="11">
        <v>-5.7971014492753624E-3</v>
      </c>
      <c r="J198" s="11">
        <v>4.3415340086830678E-2</v>
      </c>
      <c r="K198" s="11">
        <v>0</v>
      </c>
      <c r="L198" s="11">
        <v>0</v>
      </c>
      <c r="M198" s="11">
        <v>-8.6956521739130432E-2</v>
      </c>
      <c r="N198" s="11">
        <v>-4.4444444444444446E-2</v>
      </c>
      <c r="O198" s="11">
        <v>0.4</v>
      </c>
      <c r="P198" s="11">
        <v>-3.1746031746031744E-2</v>
      </c>
      <c r="Q198" s="11">
        <v>-0.08</v>
      </c>
      <c r="R198" s="11">
        <v>-3.838771593090211E-3</v>
      </c>
      <c r="S198" s="11">
        <v>0</v>
      </c>
      <c r="T198" s="11">
        <v>1.2422360248447204E-2</v>
      </c>
      <c r="U198" s="11">
        <v>5.7613168724279837E-2</v>
      </c>
      <c r="V198" s="11">
        <v>0</v>
      </c>
    </row>
    <row r="199" spans="1:22" ht="15.6" thickTop="1" thickBot="1" x14ac:dyDescent="0.35">
      <c r="A199" s="13">
        <v>8039300</v>
      </c>
      <c r="B199" s="6" t="s">
        <v>11</v>
      </c>
      <c r="C199" s="2" t="s">
        <v>497</v>
      </c>
      <c r="D199" s="23">
        <v>45313</v>
      </c>
      <c r="E199" s="2" t="s">
        <v>177</v>
      </c>
      <c r="F199" s="11">
        <v>-0.15993665874901028</v>
      </c>
      <c r="G199" s="11" t="s">
        <v>13</v>
      </c>
      <c r="H199" s="11">
        <v>-1</v>
      </c>
      <c r="I199" s="11">
        <v>-0.2076923076923077</v>
      </c>
      <c r="J199" s="11">
        <v>5.5284552845528454E-2</v>
      </c>
      <c r="K199" s="11" t="s">
        <v>13</v>
      </c>
      <c r="L199" s="11" t="s">
        <v>13</v>
      </c>
      <c r="M199" s="11" t="s">
        <v>13</v>
      </c>
      <c r="N199" s="11">
        <v>-3.3898305084745763E-2</v>
      </c>
      <c r="O199" s="11">
        <v>2</v>
      </c>
      <c r="P199" s="11">
        <v>-1.8823529411764706</v>
      </c>
      <c r="Q199" s="11" t="s">
        <v>13</v>
      </c>
      <c r="R199" s="11">
        <v>-0.12058212058212059</v>
      </c>
      <c r="S199" s="11">
        <v>-1.2820512820512822</v>
      </c>
      <c r="T199" s="11">
        <v>8.6956521739130432E-2</v>
      </c>
      <c r="U199" s="11">
        <v>4.8000000000000001E-2</v>
      </c>
      <c r="V199" s="11" t="s">
        <v>13</v>
      </c>
    </row>
    <row r="200" spans="1:22" ht="15.6" thickTop="1" thickBot="1" x14ac:dyDescent="0.35">
      <c r="A200" s="13">
        <v>9010660</v>
      </c>
      <c r="B200" s="6" t="s">
        <v>254</v>
      </c>
      <c r="C200" t="s">
        <v>13</v>
      </c>
      <c r="D200" s="24" t="s">
        <v>13</v>
      </c>
      <c r="E200" s="24" t="s">
        <v>13</v>
      </c>
    </row>
    <row r="201" spans="1:22" ht="15.6" thickTop="1" thickBot="1" x14ac:dyDescent="0.35">
      <c r="A201" s="13">
        <v>8017300</v>
      </c>
      <c r="B201" s="6" t="s">
        <v>51</v>
      </c>
      <c r="C201" t="s">
        <v>13</v>
      </c>
      <c r="D201" s="24" t="s">
        <v>13</v>
      </c>
      <c r="E201" s="24" t="s">
        <v>13</v>
      </c>
    </row>
    <row r="202" spans="1:22" ht="15.6" thickTop="1" thickBot="1" x14ac:dyDescent="0.35">
      <c r="A202" s="13">
        <v>8029200</v>
      </c>
      <c r="B202" s="6" t="s">
        <v>84</v>
      </c>
      <c r="C202" t="s">
        <v>13</v>
      </c>
      <c r="D202" s="24" t="s">
        <v>13</v>
      </c>
      <c r="E202" s="24" t="s">
        <v>13</v>
      </c>
    </row>
    <row r="203" spans="1:22" ht="15.6" thickTop="1" thickBot="1" x14ac:dyDescent="0.35">
      <c r="A203" s="13">
        <v>8058100</v>
      </c>
      <c r="B203" s="6" t="s">
        <v>249</v>
      </c>
      <c r="C203" t="s">
        <v>13</v>
      </c>
      <c r="D203" s="24" t="s">
        <v>13</v>
      </c>
      <c r="E203" s="24" t="s">
        <v>13</v>
      </c>
    </row>
    <row r="204" spans="1:22" ht="15.6" thickTop="1" thickBot="1" x14ac:dyDescent="0.35">
      <c r="A204" s="13">
        <v>8054600</v>
      </c>
      <c r="B204" s="6" t="s">
        <v>238</v>
      </c>
      <c r="C204" t="s">
        <v>13</v>
      </c>
      <c r="D204" s="24" t="s">
        <v>13</v>
      </c>
      <c r="E204" s="24" t="s">
        <v>13</v>
      </c>
    </row>
    <row r="205" spans="1:22" ht="15.6" thickTop="1" thickBot="1" x14ac:dyDescent="0.35">
      <c r="A205" s="13">
        <v>8058015</v>
      </c>
      <c r="B205" s="6" t="s">
        <v>248</v>
      </c>
      <c r="C205" t="s">
        <v>13</v>
      </c>
      <c r="D205" s="24" t="s">
        <v>13</v>
      </c>
      <c r="E205" s="24" t="s">
        <v>13</v>
      </c>
    </row>
    <row r="206" spans="1:22" ht="15.6" thickTop="1" thickBot="1" x14ac:dyDescent="0.35">
      <c r="A206" s="13">
        <v>8058010</v>
      </c>
      <c r="B206" s="6" t="s">
        <v>247</v>
      </c>
      <c r="C206" t="s">
        <v>13</v>
      </c>
      <c r="D206" s="24" t="s">
        <v>13</v>
      </c>
      <c r="E206" s="24" t="s">
        <v>13</v>
      </c>
    </row>
    <row r="207" spans="1:22" ht="15.6" thickTop="1" thickBot="1" x14ac:dyDescent="0.35">
      <c r="A207" s="13">
        <v>8027200</v>
      </c>
      <c r="B207" s="6" t="s">
        <v>518</v>
      </c>
      <c r="C207" s="2" t="s">
        <v>497</v>
      </c>
      <c r="D207" s="23">
        <v>45294</v>
      </c>
      <c r="E207" s="2" t="s">
        <v>176</v>
      </c>
      <c r="F207" s="11">
        <v>-0.30508474576271188</v>
      </c>
      <c r="G207" s="11">
        <v>-0.19332161687170474</v>
      </c>
      <c r="H207" s="11">
        <v>0.11320754716981132</v>
      </c>
      <c r="I207" s="11">
        <v>-3.9097744360902256E-2</v>
      </c>
      <c r="J207" s="11">
        <v>-0.71339173967459324</v>
      </c>
      <c r="K207" s="11">
        <v>-0.30335570469798656</v>
      </c>
      <c r="L207" s="11">
        <v>0.12903225806451613</v>
      </c>
      <c r="M207" s="11">
        <v>-6.0422960725075529E-3</v>
      </c>
      <c r="N207" s="11">
        <v>0.4</v>
      </c>
      <c r="O207" s="11">
        <v>0.125</v>
      </c>
      <c r="P207" s="11">
        <v>0</v>
      </c>
      <c r="Q207" s="11">
        <v>9.2485549132947972E-2</v>
      </c>
      <c r="R207" s="11">
        <v>-0.18892508143322476</v>
      </c>
      <c r="S207" s="11">
        <v>0</v>
      </c>
      <c r="T207" s="11">
        <v>-0.8</v>
      </c>
      <c r="U207" s="11">
        <v>0.23923444976076555</v>
      </c>
      <c r="V207" s="11">
        <v>-1.784366576819407</v>
      </c>
    </row>
    <row r="208" spans="1:22" ht="15.6" thickTop="1" thickBot="1" x14ac:dyDescent="0.35">
      <c r="A208" s="13">
        <v>8048400</v>
      </c>
      <c r="B208" s="6" t="s">
        <v>219</v>
      </c>
      <c r="C208" t="s">
        <v>13</v>
      </c>
      <c r="D208" s="24" t="s">
        <v>13</v>
      </c>
      <c r="E208" s="24" t="s">
        <v>13</v>
      </c>
    </row>
    <row r="209" spans="1:22" ht="15.6" thickTop="1" thickBot="1" x14ac:dyDescent="0.35">
      <c r="A209" s="13">
        <v>8000400</v>
      </c>
      <c r="B209" s="6" t="s">
        <v>28</v>
      </c>
      <c r="C209" t="s">
        <v>13</v>
      </c>
      <c r="D209" s="24" t="s">
        <v>13</v>
      </c>
      <c r="E209" s="24" t="s">
        <v>13</v>
      </c>
    </row>
    <row r="210" spans="1:22" ht="15.6" thickTop="1" thickBot="1" x14ac:dyDescent="0.35">
      <c r="A210" s="13">
        <v>8033700</v>
      </c>
      <c r="B210" s="6" t="s">
        <v>89</v>
      </c>
      <c r="C210" t="s">
        <v>13</v>
      </c>
      <c r="D210" s="24" t="s">
        <v>13</v>
      </c>
      <c r="E210" s="24" t="s">
        <v>13</v>
      </c>
    </row>
    <row r="211" spans="1:22" ht="15.6" thickTop="1" thickBot="1" x14ac:dyDescent="0.35">
      <c r="A211" s="13">
        <v>8033800</v>
      </c>
      <c r="B211" s="6" t="s">
        <v>90</v>
      </c>
      <c r="C211" t="s">
        <v>13</v>
      </c>
      <c r="D211" s="24" t="s">
        <v>13</v>
      </c>
      <c r="E211" s="24" t="s">
        <v>13</v>
      </c>
    </row>
    <row r="212" spans="1:22" ht="15.6" thickTop="1" thickBot="1" x14ac:dyDescent="0.35">
      <c r="A212" s="13">
        <v>8033900</v>
      </c>
      <c r="B212" s="6" t="s">
        <v>91</v>
      </c>
      <c r="C212" t="s">
        <v>13</v>
      </c>
      <c r="D212" s="24" t="s">
        <v>13</v>
      </c>
      <c r="E212" s="24" t="s">
        <v>13</v>
      </c>
    </row>
    <row r="213" spans="1:22" ht="15.6" thickTop="1" thickBot="1" x14ac:dyDescent="0.35">
      <c r="A213" s="13">
        <v>8034400</v>
      </c>
      <c r="B213" s="6" t="s">
        <v>6</v>
      </c>
      <c r="C213" s="2" t="s">
        <v>497</v>
      </c>
      <c r="D213" s="23">
        <v>45301</v>
      </c>
      <c r="E213" s="2" t="s">
        <v>174</v>
      </c>
      <c r="F213" s="11">
        <v>-3.2713754646840149E-2</v>
      </c>
      <c r="G213" s="11">
        <v>-0.25806451612903225</v>
      </c>
      <c r="H213" s="11">
        <v>-8.9686098654708519E-3</v>
      </c>
      <c r="I213" s="11">
        <v>-2.8429282160625444E-3</v>
      </c>
      <c r="J213" s="11">
        <v>-4.8687350835322198E-2</v>
      </c>
      <c r="K213" s="11">
        <v>-0.10666666666666667</v>
      </c>
      <c r="L213" s="11">
        <v>-0.5</v>
      </c>
      <c r="M213" s="11">
        <v>-0.48484848484848486</v>
      </c>
      <c r="N213" s="11">
        <v>-5.9405940594059403E-2</v>
      </c>
      <c r="O213" s="11">
        <v>5.4054054054054057E-2</v>
      </c>
      <c r="P213" s="11">
        <v>2.3529411764705882E-2</v>
      </c>
      <c r="Q213" s="11">
        <v>0.10909090909090909</v>
      </c>
      <c r="R213" s="11">
        <v>-5.1794302626711058E-3</v>
      </c>
      <c r="S213" s="11">
        <v>0</v>
      </c>
      <c r="T213" s="11">
        <v>-0.14814814814814814</v>
      </c>
      <c r="U213" s="11">
        <v>-2.6745913818722138E-2</v>
      </c>
      <c r="V213" s="11">
        <v>-1.8181818181818181</v>
      </c>
    </row>
    <row r="214" spans="1:22" ht="15.6" thickTop="1" thickBot="1" x14ac:dyDescent="0.35">
      <c r="A214" s="13">
        <v>8047600</v>
      </c>
      <c r="B214" s="6" t="s">
        <v>23</v>
      </c>
      <c r="C214" t="s">
        <v>497</v>
      </c>
      <c r="D214" s="23">
        <v>45336</v>
      </c>
      <c r="E214" t="s">
        <v>177</v>
      </c>
      <c r="F214" s="11">
        <v>-0.18232623122598673</v>
      </c>
      <c r="G214" s="11" t="s">
        <v>13</v>
      </c>
      <c r="H214" s="11">
        <v>-7.3239436619718309E-2</v>
      </c>
      <c r="I214" s="11">
        <v>-0.12545061283345349</v>
      </c>
      <c r="J214" s="11">
        <v>-0.28724353256021412</v>
      </c>
      <c r="K214" s="11" t="s">
        <v>13</v>
      </c>
      <c r="L214" s="11" t="s">
        <v>13</v>
      </c>
      <c r="M214" s="11" t="s">
        <v>13</v>
      </c>
      <c r="N214" s="11">
        <v>-0.26315789473684209</v>
      </c>
      <c r="O214" s="11">
        <v>2</v>
      </c>
      <c r="P214" s="11">
        <v>-5.6074766355140186E-2</v>
      </c>
      <c r="Q214" s="11" t="s">
        <v>13</v>
      </c>
      <c r="R214" s="11">
        <v>-0.13864818024263431</v>
      </c>
      <c r="S214" s="11">
        <v>-6.0085836909871244E-2</v>
      </c>
      <c r="T214" s="11">
        <v>-0.23529411764705882</v>
      </c>
      <c r="U214" s="11">
        <v>-0.29244357212953875</v>
      </c>
      <c r="V214" s="11" t="s">
        <v>13</v>
      </c>
    </row>
    <row r="215" spans="1:22" ht="15.6" thickTop="1" thickBot="1" x14ac:dyDescent="0.35">
      <c r="A215" s="13">
        <v>8057845</v>
      </c>
      <c r="B215" s="6" t="s">
        <v>150</v>
      </c>
      <c r="C215" t="s">
        <v>13</v>
      </c>
      <c r="D215" s="24" t="s">
        <v>13</v>
      </c>
      <c r="E215" s="24" t="s">
        <v>13</v>
      </c>
    </row>
    <row r="216" spans="1:22" ht="15.6" thickTop="1" thickBot="1" x14ac:dyDescent="0.35">
      <c r="A216" s="13">
        <v>8033600</v>
      </c>
      <c r="B216" s="6" t="s">
        <v>88</v>
      </c>
      <c r="C216" t="s">
        <v>13</v>
      </c>
      <c r="D216" s="24" t="s">
        <v>13</v>
      </c>
      <c r="E216" s="24" t="s">
        <v>13</v>
      </c>
    </row>
    <row r="217" spans="1:22" ht="15.6" thickTop="1" thickBot="1" x14ac:dyDescent="0.35">
      <c r="A217" s="13">
        <v>8034700</v>
      </c>
      <c r="B217" s="6" t="s">
        <v>205</v>
      </c>
      <c r="C217" t="s">
        <v>13</v>
      </c>
      <c r="D217" s="24" t="s">
        <v>13</v>
      </c>
      <c r="E217" s="24" t="s">
        <v>13</v>
      </c>
    </row>
    <row r="218" spans="1:22" ht="15.6" thickTop="1" thickBot="1" x14ac:dyDescent="0.35">
      <c r="A218" s="13">
        <v>8034900</v>
      </c>
      <c r="B218" s="6" t="s">
        <v>93</v>
      </c>
      <c r="C218" t="s">
        <v>13</v>
      </c>
      <c r="D218" s="24" t="s">
        <v>13</v>
      </c>
      <c r="E218" s="24" t="s">
        <v>13</v>
      </c>
    </row>
    <row r="219" spans="1:22" ht="15.6" thickTop="1" thickBot="1" x14ac:dyDescent="0.35">
      <c r="A219" s="13">
        <v>8034500</v>
      </c>
      <c r="B219" s="6" t="s">
        <v>204</v>
      </c>
      <c r="C219" t="s">
        <v>13</v>
      </c>
      <c r="D219" s="24" t="s">
        <v>13</v>
      </c>
      <c r="E219" s="24" t="s">
        <v>13</v>
      </c>
    </row>
    <row r="220" spans="1:22" ht="15.6" thickTop="1" thickBot="1" x14ac:dyDescent="0.35">
      <c r="A220" s="13">
        <v>9010560</v>
      </c>
      <c r="B220" s="6" t="s">
        <v>152</v>
      </c>
      <c r="C220" t="s">
        <v>13</v>
      </c>
      <c r="D220" s="24" t="s">
        <v>13</v>
      </c>
      <c r="E220" s="24" t="s">
        <v>13</v>
      </c>
    </row>
    <row r="221" spans="1:22" ht="15.6" thickTop="1" thickBot="1" x14ac:dyDescent="0.35">
      <c r="A221" s="13">
        <v>9010570</v>
      </c>
      <c r="B221" s="6" t="s">
        <v>153</v>
      </c>
      <c r="C221" t="s">
        <v>13</v>
      </c>
      <c r="D221" s="24" t="s">
        <v>13</v>
      </c>
      <c r="E221" s="24" t="s">
        <v>13</v>
      </c>
    </row>
    <row r="222" spans="1:22" ht="15.6" thickTop="1" thickBot="1" x14ac:dyDescent="0.35">
      <c r="A222" s="13">
        <v>8039700</v>
      </c>
      <c r="B222" s="6" t="s">
        <v>24</v>
      </c>
      <c r="C222" s="2" t="s">
        <v>497</v>
      </c>
      <c r="D222" s="23">
        <v>45336</v>
      </c>
      <c r="E222" s="2" t="s">
        <v>177</v>
      </c>
      <c r="F222" s="11">
        <v>5.9443393677384489E-3</v>
      </c>
      <c r="G222" s="11">
        <v>1.3245033112582781E-2</v>
      </c>
      <c r="H222" s="11">
        <v>-6.4516129032258063E-2</v>
      </c>
      <c r="I222" s="11">
        <v>1.243640474844545E-2</v>
      </c>
      <c r="J222" s="11">
        <v>-1.2507817385866166E-3</v>
      </c>
      <c r="K222" s="11">
        <v>-1.6E-2</v>
      </c>
      <c r="L222" s="11">
        <v>0.5</v>
      </c>
      <c r="M222" s="11">
        <v>1.1834319526627219E-2</v>
      </c>
      <c r="N222" s="11">
        <v>0</v>
      </c>
      <c r="O222" s="11">
        <v>-0.66666666666666663</v>
      </c>
      <c r="P222" s="11">
        <v>0</v>
      </c>
      <c r="Q222" s="11">
        <v>-0.18181818181818182</v>
      </c>
      <c r="R222" s="11">
        <v>1.1076923076923076E-2</v>
      </c>
      <c r="S222" s="11">
        <v>4.5112781954887216E-2</v>
      </c>
      <c r="T222" s="11">
        <v>-1.4814814814814815E-2</v>
      </c>
      <c r="U222" s="11">
        <v>8.23045267489712E-3</v>
      </c>
      <c r="V222" s="11">
        <v>-2</v>
      </c>
    </row>
    <row r="223" spans="1:22" ht="15.6" thickTop="1" thickBot="1" x14ac:dyDescent="0.35">
      <c r="A223" s="13">
        <v>9010760</v>
      </c>
      <c r="B223" s="6" t="s">
        <v>155</v>
      </c>
      <c r="C223" t="s">
        <v>13</v>
      </c>
      <c r="D223" s="24" t="s">
        <v>13</v>
      </c>
      <c r="E223" s="24" t="s">
        <v>13</v>
      </c>
    </row>
    <row r="224" spans="1:22" ht="15.6" thickTop="1" thickBot="1" x14ac:dyDescent="0.35">
      <c r="A224" s="13">
        <v>8059010</v>
      </c>
      <c r="B224" s="6" t="s">
        <v>250</v>
      </c>
      <c r="C224" t="s">
        <v>13</v>
      </c>
      <c r="D224" s="24" t="s">
        <v>13</v>
      </c>
      <c r="E224" s="24" t="s">
        <v>13</v>
      </c>
    </row>
    <row r="225" spans="1:22" ht="15.6" thickTop="1" thickBot="1" x14ac:dyDescent="0.35">
      <c r="A225" s="13">
        <v>8056550</v>
      </c>
      <c r="B225" s="6" t="s">
        <v>138</v>
      </c>
      <c r="C225" t="s">
        <v>13</v>
      </c>
      <c r="D225" s="24" t="s">
        <v>13</v>
      </c>
      <c r="E225" s="24" t="s">
        <v>13</v>
      </c>
    </row>
    <row r="226" spans="1:22" ht="15.6" thickTop="1" thickBot="1" x14ac:dyDescent="0.35">
      <c r="A226" s="13">
        <v>8057895</v>
      </c>
      <c r="B226" s="6" t="s">
        <v>243</v>
      </c>
      <c r="C226" t="s">
        <v>13</v>
      </c>
      <c r="D226" s="24" t="s">
        <v>13</v>
      </c>
      <c r="E226" s="24" t="s">
        <v>13</v>
      </c>
    </row>
    <row r="227" spans="1:22" ht="15.6" thickTop="1" thickBot="1" x14ac:dyDescent="0.35">
      <c r="A227" s="13">
        <v>8057900</v>
      </c>
      <c r="B227" s="6" t="s">
        <v>244</v>
      </c>
      <c r="C227" t="s">
        <v>13</v>
      </c>
      <c r="D227" s="24" t="s">
        <v>13</v>
      </c>
      <c r="E227" s="24" t="s">
        <v>13</v>
      </c>
    </row>
    <row r="228" spans="1:22" ht="15.6" thickTop="1" thickBot="1" x14ac:dyDescent="0.35">
      <c r="A228" s="13">
        <v>8057890</v>
      </c>
      <c r="B228" s="6" t="s">
        <v>242</v>
      </c>
      <c r="C228" t="s">
        <v>13</v>
      </c>
      <c r="D228" s="24" t="s">
        <v>13</v>
      </c>
      <c r="E228" s="24" t="s">
        <v>13</v>
      </c>
    </row>
    <row r="229" spans="1:22" ht="15.6" thickTop="1" thickBot="1" x14ac:dyDescent="0.35">
      <c r="A229" s="13">
        <v>8033400</v>
      </c>
      <c r="B229" s="6" t="s">
        <v>202</v>
      </c>
      <c r="C229" t="s">
        <v>13</v>
      </c>
      <c r="D229" s="24" t="s">
        <v>13</v>
      </c>
      <c r="E229" s="24" t="s">
        <v>13</v>
      </c>
    </row>
    <row r="230" spans="1:22" ht="15.6" thickTop="1" thickBot="1" x14ac:dyDescent="0.35">
      <c r="A230" s="13">
        <v>8033300</v>
      </c>
      <c r="B230" s="6" t="s">
        <v>201</v>
      </c>
      <c r="C230" t="s">
        <v>13</v>
      </c>
      <c r="D230" s="24" t="s">
        <v>13</v>
      </c>
      <c r="E230" s="24" t="s">
        <v>13</v>
      </c>
    </row>
    <row r="231" spans="1:22" ht="15.6" thickTop="1" thickBot="1" x14ac:dyDescent="0.35">
      <c r="A231" s="13">
        <v>8034000</v>
      </c>
      <c r="B231" s="6" t="s">
        <v>92</v>
      </c>
      <c r="C231" t="s">
        <v>13</v>
      </c>
      <c r="D231" s="24" t="s">
        <v>13</v>
      </c>
      <c r="E231" s="24" t="s">
        <v>13</v>
      </c>
    </row>
    <row r="232" spans="1:22" ht="15.6" thickTop="1" thickBot="1" x14ac:dyDescent="0.35">
      <c r="A232" s="13">
        <v>8012100</v>
      </c>
      <c r="B232" s="6" t="s">
        <v>44</v>
      </c>
      <c r="C232" t="s">
        <v>13</v>
      </c>
      <c r="D232" s="24" t="s">
        <v>13</v>
      </c>
      <c r="E232" s="24" t="s">
        <v>13</v>
      </c>
    </row>
    <row r="233" spans="1:22" ht="15.6" thickTop="1" thickBot="1" x14ac:dyDescent="0.35">
      <c r="A233" s="13">
        <v>8055300</v>
      </c>
      <c r="B233" s="6" t="s">
        <v>133</v>
      </c>
      <c r="C233" t="s">
        <v>13</v>
      </c>
      <c r="D233" s="24" t="s">
        <v>13</v>
      </c>
      <c r="E233" s="24" t="s">
        <v>13</v>
      </c>
    </row>
    <row r="234" spans="1:22" ht="15.6" thickTop="1" thickBot="1" x14ac:dyDescent="0.35">
      <c r="A234" s="13">
        <v>8025200</v>
      </c>
      <c r="B234" s="6" t="s">
        <v>194</v>
      </c>
      <c r="C234" t="s">
        <v>13</v>
      </c>
      <c r="D234" s="24" t="s">
        <v>13</v>
      </c>
      <c r="E234" s="24" t="s">
        <v>13</v>
      </c>
    </row>
    <row r="235" spans="1:22" ht="15.6" thickTop="1" thickBot="1" x14ac:dyDescent="0.35">
      <c r="A235" s="13">
        <v>8024800</v>
      </c>
      <c r="B235" s="6" t="s">
        <v>67</v>
      </c>
      <c r="C235" t="s">
        <v>13</v>
      </c>
      <c r="D235" s="24" t="s">
        <v>13</v>
      </c>
      <c r="E235" s="24" t="s">
        <v>13</v>
      </c>
    </row>
    <row r="236" spans="1:22" ht="15.6" thickTop="1" thickBot="1" x14ac:dyDescent="0.35">
      <c r="A236" s="13">
        <v>8055200</v>
      </c>
      <c r="B236" s="6" t="s">
        <v>132</v>
      </c>
      <c r="C236" t="s">
        <v>13</v>
      </c>
      <c r="D236" s="24" t="s">
        <v>13</v>
      </c>
      <c r="E236" s="24" t="s">
        <v>13</v>
      </c>
    </row>
    <row r="237" spans="1:22" ht="15.6" thickTop="1" thickBot="1" x14ac:dyDescent="0.35">
      <c r="A237" s="13">
        <v>8051100</v>
      </c>
      <c r="B237" s="6" t="s">
        <v>25</v>
      </c>
      <c r="C237" t="s">
        <v>497</v>
      </c>
      <c r="D237" s="23">
        <v>45336</v>
      </c>
      <c r="E237" t="s">
        <v>174</v>
      </c>
      <c r="F237" s="12">
        <v>-0.10465116279069768</v>
      </c>
      <c r="G237" s="12">
        <v>-9.5027624309392267E-2</v>
      </c>
      <c r="H237" s="12">
        <v>-0.17085427135678391</v>
      </c>
      <c r="I237" s="12">
        <v>-5.7596822244289969E-2</v>
      </c>
      <c r="J237" s="12">
        <v>-0.10737134909596661</v>
      </c>
      <c r="K237" s="12">
        <v>-7.0921985815602842E-2</v>
      </c>
      <c r="L237" s="12">
        <v>-0.1</v>
      </c>
      <c r="M237" s="12">
        <v>-0.37037037037037035</v>
      </c>
      <c r="N237" s="12">
        <v>-0.18450184501845018</v>
      </c>
      <c r="O237" s="12">
        <v>-5.2539404553415062E-2</v>
      </c>
      <c r="P237" s="12">
        <v>-9.5238095238095233E-2</v>
      </c>
      <c r="Q237" s="12">
        <v>-6.0606060606060608E-2</v>
      </c>
      <c r="R237" s="12">
        <v>-0.13293943870014771</v>
      </c>
      <c r="S237" s="12">
        <v>-0.30158730158730157</v>
      </c>
      <c r="T237" s="12">
        <v>-9.2307692307692313E-2</v>
      </c>
      <c r="U237" s="12">
        <v>-2.8460543337645538E-2</v>
      </c>
      <c r="V237" s="12">
        <v>-0.23076923076923078</v>
      </c>
    </row>
    <row r="238" spans="1:22" ht="15" thickTop="1" x14ac:dyDescent="0.3"/>
  </sheetData>
  <autoFilter ref="A1:V22" xr:uid="{AB49B738-1EAD-4260-9DA7-6E9B669A033D}">
    <sortState xmlns:xlrd2="http://schemas.microsoft.com/office/spreadsheetml/2017/richdata2" ref="A2:V237">
      <sortCondition ref="B2:B237"/>
    </sortState>
  </autoFilter>
  <phoneticPr fontId="23" type="noConversion"/>
  <conditionalFormatting sqref="F2:V500 W12">
    <cfRule type="containsText" priority="20" stopIfTrue="1" operator="containsText" text="NA">
      <formula>NOT(ISERROR(SEARCH("NA",F2)))</formula>
    </cfRule>
    <cfRule type="containsBlanks" priority="21" stopIfTrue="1">
      <formula>LEN(TRIM(F2))=0</formula>
    </cfRule>
    <cfRule type="cellIs" dxfId="94" priority="22" operator="lessThan">
      <formula>-0.1</formula>
    </cfRule>
    <cfRule type="cellIs" dxfId="93" priority="23" operator="greaterThan">
      <formula>0.1</formula>
    </cfRule>
    <cfRule type="cellIs" dxfId="92" priority="24" operator="between">
      <formula>-0.1</formula>
      <formula>-0.05</formula>
    </cfRule>
    <cfRule type="cellIs" dxfId="91" priority="25" operator="between">
      <formula>0.1</formula>
      <formula>0.05</formula>
    </cfRule>
    <cfRule type="cellIs" dxfId="90" priority="26" operator="between">
      <formula>-0.05</formula>
      <formula>0.05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AF6D3-5C51-46F8-95F0-0BE0FF052676}">
  <sheetPr codeName="Sheet2"/>
  <dimension ref="A1:AA238"/>
  <sheetViews>
    <sheetView tabSelected="1" zoomScaleNormal="100" workbookViewId="0">
      <pane ySplit="1" topLeftCell="A83" activePane="bottomLeft" state="frozen"/>
      <selection pane="bottomLeft" activeCell="B103" sqref="B103"/>
    </sheetView>
  </sheetViews>
  <sheetFormatPr defaultRowHeight="14.4" x14ac:dyDescent="0.3"/>
  <cols>
    <col min="1" max="1" width="8" style="9" bestFit="1" customWidth="1"/>
    <col min="2" max="2" width="73.44140625" style="5" bestFit="1" customWidth="1"/>
    <col min="3" max="3" width="14.6640625" style="2" customWidth="1"/>
    <col min="4" max="4" width="10.5546875" style="23" bestFit="1" customWidth="1"/>
    <col min="5" max="5" width="15.44140625" style="25" bestFit="1" customWidth="1"/>
    <col min="6" max="6" width="9.5546875" style="11" bestFit="1" customWidth="1"/>
    <col min="7" max="7" width="12.33203125" style="11" bestFit="1" customWidth="1"/>
    <col min="8" max="8" width="13" style="11" bestFit="1" customWidth="1"/>
    <col min="9" max="9" width="12.5546875" style="11" bestFit="1" customWidth="1"/>
    <col min="10" max="10" width="12.33203125" style="11" bestFit="1" customWidth="1"/>
    <col min="11" max="11" width="8.44140625" style="11" bestFit="1" customWidth="1"/>
    <col min="12" max="13" width="8.5546875" style="11" bestFit="1" customWidth="1"/>
    <col min="14" max="14" width="9.33203125" style="11" bestFit="1" customWidth="1"/>
    <col min="15" max="15" width="9.6640625" style="11" bestFit="1" customWidth="1"/>
    <col min="16" max="16" width="9.44140625" style="11" bestFit="1" customWidth="1"/>
    <col min="17" max="18" width="8.6640625" style="11"/>
    <col min="19" max="19" width="9" style="11" bestFit="1" customWidth="1"/>
    <col min="20" max="20" width="8.44140625" style="11" bestFit="1" customWidth="1"/>
    <col min="21" max="22" width="8.5546875" style="11" bestFit="1" customWidth="1"/>
  </cols>
  <sheetData>
    <row r="1" spans="1:27" s="1" customFormat="1" ht="16.2" thickBot="1" x14ac:dyDescent="0.35">
      <c r="A1" s="16" t="s">
        <v>27</v>
      </c>
      <c r="B1" s="17" t="s">
        <v>26</v>
      </c>
      <c r="C1" s="14" t="s">
        <v>343</v>
      </c>
      <c r="D1" s="26" t="s">
        <v>175</v>
      </c>
      <c r="E1" s="27" t="s">
        <v>173</v>
      </c>
      <c r="F1" s="15" t="s">
        <v>172</v>
      </c>
      <c r="G1" s="15" t="s">
        <v>159</v>
      </c>
      <c r="H1" s="15" t="s">
        <v>163</v>
      </c>
      <c r="I1" s="15" t="s">
        <v>167</v>
      </c>
      <c r="J1" s="15" t="s">
        <v>171</v>
      </c>
      <c r="K1" s="15" t="s">
        <v>156</v>
      </c>
      <c r="L1" s="15" t="s">
        <v>157</v>
      </c>
      <c r="M1" s="15" t="s">
        <v>158</v>
      </c>
      <c r="N1" s="15" t="s">
        <v>160</v>
      </c>
      <c r="O1" s="15" t="s">
        <v>161</v>
      </c>
      <c r="P1" s="15" t="s">
        <v>162</v>
      </c>
      <c r="Q1" s="15" t="s">
        <v>164</v>
      </c>
      <c r="R1" s="15" t="s">
        <v>165</v>
      </c>
      <c r="S1" s="15" t="s">
        <v>166</v>
      </c>
      <c r="T1" s="15" t="s">
        <v>168</v>
      </c>
      <c r="U1" s="15" t="s">
        <v>169</v>
      </c>
      <c r="V1" s="15" t="s">
        <v>170</v>
      </c>
    </row>
    <row r="2" spans="1:27" ht="15.6" thickTop="1" thickBot="1" x14ac:dyDescent="0.35">
      <c r="A2" s="13">
        <v>8059100</v>
      </c>
      <c r="B2" s="6" t="s">
        <v>496</v>
      </c>
      <c r="C2" s="2" t="s">
        <v>491</v>
      </c>
      <c r="D2" s="23">
        <v>45839</v>
      </c>
      <c r="E2" s="32">
        <v>0.625</v>
      </c>
      <c r="F2" s="11">
        <v>-7.3000000000000001E-3</v>
      </c>
      <c r="G2" s="11">
        <v>0</v>
      </c>
      <c r="H2" s="11">
        <v>1.46E-2</v>
      </c>
      <c r="I2" s="11">
        <v>3.9600000000000003E-2</v>
      </c>
      <c r="J2" s="11">
        <v>-6.6699999999999995E-2</v>
      </c>
      <c r="K2" s="11">
        <v>0</v>
      </c>
      <c r="L2" s="11">
        <v>0</v>
      </c>
      <c r="M2" s="11">
        <v>0</v>
      </c>
      <c r="N2" s="11">
        <v>3.2800000000000003E-2</v>
      </c>
      <c r="O2" s="11">
        <v>0</v>
      </c>
      <c r="P2" s="11">
        <v>0</v>
      </c>
      <c r="Q2" s="11">
        <v>0.15379999999999999</v>
      </c>
      <c r="R2" s="11">
        <v>2.2499999999999999E-2</v>
      </c>
      <c r="S2" s="11">
        <v>0.04</v>
      </c>
      <c r="T2" s="11">
        <v>-0.1573</v>
      </c>
      <c r="U2" s="11">
        <v>0</v>
      </c>
      <c r="V2" s="11">
        <v>2</v>
      </c>
      <c r="X2" t="s">
        <v>540</v>
      </c>
      <c r="Z2" s="31" t="s">
        <v>524</v>
      </c>
      <c r="AA2" s="31"/>
    </row>
    <row r="3" spans="1:27" ht="15.6" thickTop="1" thickBot="1" x14ac:dyDescent="0.35">
      <c r="A3" s="13">
        <v>8008400</v>
      </c>
      <c r="B3" s="6" t="s">
        <v>40</v>
      </c>
      <c r="C3" s="2" t="s">
        <v>360</v>
      </c>
      <c r="D3" s="23">
        <v>45118</v>
      </c>
      <c r="E3" s="25" t="s">
        <v>176</v>
      </c>
      <c r="F3" s="11">
        <v>1.560758082497213E-2</v>
      </c>
      <c r="G3" s="11">
        <v>6.269592476489028E-3</v>
      </c>
      <c r="H3" s="11">
        <v>4.9689440993788817E-2</v>
      </c>
      <c r="I3" s="11">
        <v>-1.9417475728155338E-2</v>
      </c>
      <c r="J3" s="11">
        <v>-1.3071895424836602E-2</v>
      </c>
      <c r="K3" s="11">
        <v>-2.5974025974025976E-2</v>
      </c>
      <c r="L3" s="11">
        <v>3.4482758620689655E-2</v>
      </c>
      <c r="M3" s="11">
        <v>-0.4</v>
      </c>
      <c r="N3" s="11">
        <v>-0.8571428571428571</v>
      </c>
      <c r="O3" s="11">
        <v>0.18791946308724833</v>
      </c>
      <c r="P3" s="11">
        <v>-2</v>
      </c>
      <c r="Q3" s="11">
        <v>-0.14285714285714285</v>
      </c>
      <c r="R3" s="11">
        <v>0.42622950819672129</v>
      </c>
      <c r="S3" s="11">
        <v>-1.7142857142857142</v>
      </c>
      <c r="T3" s="11">
        <v>0</v>
      </c>
      <c r="U3" s="11">
        <v>0.11320754716981132</v>
      </c>
      <c r="V3" s="11">
        <v>-0.14285714285714285</v>
      </c>
    </row>
    <row r="4" spans="1:27" ht="15.6" thickTop="1" thickBot="1" x14ac:dyDescent="0.35">
      <c r="A4" s="13">
        <v>8018400</v>
      </c>
      <c r="B4" s="6" t="s">
        <v>192</v>
      </c>
      <c r="C4" s="2" t="s">
        <v>273</v>
      </c>
      <c r="D4" s="23">
        <v>45379</v>
      </c>
      <c r="E4" s="25" t="s">
        <v>177</v>
      </c>
      <c r="F4" s="11">
        <v>-0.28043306047002903</v>
      </c>
      <c r="G4" s="11">
        <v>-0.26849315068493151</v>
      </c>
      <c r="H4" s="11">
        <v>-7.6394194041252868E-3</v>
      </c>
      <c r="I4" s="11">
        <v>-0.3686635944700461</v>
      </c>
      <c r="J4" s="11">
        <v>-0.85616438356164382</v>
      </c>
      <c r="K4" s="11">
        <v>-1.1873015873015873</v>
      </c>
      <c r="L4" s="11">
        <v>0.10760667903525047</v>
      </c>
      <c r="M4" s="11">
        <v>-2</v>
      </c>
      <c r="N4" s="11">
        <v>-0.46464646464646464</v>
      </c>
      <c r="O4" s="11">
        <v>0.20540540540540542</v>
      </c>
      <c r="P4" s="11">
        <v>-1.92</v>
      </c>
      <c r="Q4" s="11">
        <v>-6.8965517241379309E-2</v>
      </c>
      <c r="R4" s="11">
        <v>-1.8518518518518517E-2</v>
      </c>
      <c r="S4" s="11">
        <v>-2</v>
      </c>
      <c r="T4" s="11">
        <v>-7.3170731707317069E-2</v>
      </c>
      <c r="U4" s="11">
        <v>-2.247191011235955E-2</v>
      </c>
      <c r="V4" s="11">
        <v>-2</v>
      </c>
    </row>
    <row r="5" spans="1:27" ht="15.6" thickTop="1" thickBot="1" x14ac:dyDescent="0.35">
      <c r="A5" s="13">
        <v>8044600</v>
      </c>
      <c r="B5" s="6" t="s">
        <v>110</v>
      </c>
      <c r="C5" s="2" t="s">
        <v>445</v>
      </c>
      <c r="D5" s="23">
        <v>45114</v>
      </c>
      <c r="E5" s="25" t="s">
        <v>176</v>
      </c>
      <c r="F5" s="11">
        <v>-0.41691842900302117</v>
      </c>
      <c r="G5" s="11">
        <v>-0.32727272727272727</v>
      </c>
      <c r="H5" s="11">
        <v>-0.54961832061068705</v>
      </c>
      <c r="I5" s="11">
        <v>-0.55555555555555558</v>
      </c>
      <c r="J5" s="11">
        <v>-0.11764705882352941</v>
      </c>
      <c r="K5" s="11">
        <v>0</v>
      </c>
      <c r="L5" s="11">
        <v>-0.30463576158940397</v>
      </c>
      <c r="M5" s="11">
        <v>-2</v>
      </c>
      <c r="N5" s="11">
        <v>0</v>
      </c>
      <c r="O5" s="11">
        <v>-0.62608695652173918</v>
      </c>
      <c r="P5" s="11">
        <v>0</v>
      </c>
      <c r="Q5" s="11">
        <v>-0.33333333333333331</v>
      </c>
      <c r="R5" s="11">
        <v>1</v>
      </c>
      <c r="S5" s="11">
        <v>-2</v>
      </c>
      <c r="T5" s="11">
        <v>0.22222222222222221</v>
      </c>
      <c r="U5" s="11">
        <v>0</v>
      </c>
      <c r="V5" s="11">
        <v>-0.2857142857142857</v>
      </c>
    </row>
    <row r="6" spans="1:27" ht="15.6" thickTop="1" thickBot="1" x14ac:dyDescent="0.35">
      <c r="A6" s="13">
        <v>8022400</v>
      </c>
      <c r="B6" s="6" t="s">
        <v>62</v>
      </c>
      <c r="C6" s="2" t="s">
        <v>385</v>
      </c>
      <c r="D6" s="23">
        <v>45350</v>
      </c>
      <c r="E6" s="25" t="s">
        <v>177</v>
      </c>
      <c r="F6" s="11">
        <v>-0.31742243436754175</v>
      </c>
      <c r="G6" s="11">
        <v>-0.45673758865248226</v>
      </c>
      <c r="H6" s="11">
        <v>-0.14439324116743471</v>
      </c>
      <c r="I6" s="11">
        <v>-0.43902439024390244</v>
      </c>
      <c r="J6" s="11">
        <v>-0.10810810810810811</v>
      </c>
      <c r="K6" s="11">
        <v>0.92307692307692313</v>
      </c>
      <c r="L6" s="11">
        <v>-0.28183361629881154</v>
      </c>
      <c r="M6" s="11">
        <v>-2</v>
      </c>
      <c r="N6" s="11">
        <v>0</v>
      </c>
      <c r="O6" s="11">
        <v>-0.1508828250401284</v>
      </c>
      <c r="P6" s="11">
        <v>0</v>
      </c>
      <c r="Q6" s="11">
        <v>-0.47499999999999998</v>
      </c>
      <c r="R6" s="11">
        <v>-0.4</v>
      </c>
      <c r="S6" s="11">
        <v>-0.32258064516129031</v>
      </c>
      <c r="T6" s="11">
        <v>-1</v>
      </c>
      <c r="U6" s="11">
        <v>4.4444444444444446E-2</v>
      </c>
      <c r="V6" s="11">
        <v>0.11764705882352941</v>
      </c>
    </row>
    <row r="7" spans="1:27" ht="15.6" thickTop="1" thickBot="1" x14ac:dyDescent="0.35">
      <c r="A7" s="13">
        <v>8052100</v>
      </c>
      <c r="B7" s="6" t="s">
        <v>233</v>
      </c>
      <c r="C7" s="2" t="s">
        <v>315</v>
      </c>
      <c r="D7" s="23">
        <v>45772</v>
      </c>
      <c r="E7" s="32">
        <v>0.32291666666666669</v>
      </c>
      <c r="F7" s="11">
        <v>-3.3500000000000002E-2</v>
      </c>
      <c r="G7" s="11">
        <v>-6.5100000000000005E-2</v>
      </c>
      <c r="H7" s="11">
        <v>-2.41E-2</v>
      </c>
      <c r="I7" s="11">
        <v>3.5099999999999999E-2</v>
      </c>
      <c r="J7" s="11">
        <v>0</v>
      </c>
      <c r="K7" s="11">
        <v>0</v>
      </c>
      <c r="L7" s="11">
        <v>-6.9000000000000006E-2</v>
      </c>
      <c r="M7" s="11">
        <v>0</v>
      </c>
      <c r="N7" s="11">
        <v>0</v>
      </c>
      <c r="O7" s="11">
        <v>-2.5999999999999999E-2</v>
      </c>
      <c r="P7" s="11">
        <v>0</v>
      </c>
      <c r="Q7" s="11">
        <v>0</v>
      </c>
      <c r="R7" s="11">
        <v>0.66669999999999996</v>
      </c>
      <c r="S7" s="11">
        <v>0</v>
      </c>
      <c r="T7" s="11">
        <v>0</v>
      </c>
      <c r="U7" s="11">
        <v>0</v>
      </c>
      <c r="V7" s="11">
        <v>0</v>
      </c>
      <c r="X7" t="s">
        <v>523</v>
      </c>
      <c r="Z7" s="31" t="s">
        <v>524</v>
      </c>
      <c r="AA7" s="31"/>
    </row>
    <row r="8" spans="1:27" ht="15.6" thickTop="1" thickBot="1" x14ac:dyDescent="0.35">
      <c r="A8" s="13">
        <v>8037200</v>
      </c>
      <c r="B8" s="6" t="s">
        <v>209</v>
      </c>
      <c r="C8" s="2" t="s">
        <v>291</v>
      </c>
      <c r="D8" s="23">
        <v>45391</v>
      </c>
      <c r="E8" s="24" t="s">
        <v>177</v>
      </c>
      <c r="F8" s="51">
        <v>-1.9E-2</v>
      </c>
      <c r="G8" s="52">
        <v>0.2052505966587112</v>
      </c>
      <c r="H8" s="53">
        <v>-5.6338028169014086E-2</v>
      </c>
      <c r="I8" s="52">
        <v>-0.171875</v>
      </c>
      <c r="J8" s="53">
        <v>-7.9136690647482008E-2</v>
      </c>
      <c r="K8" s="52">
        <v>0.35294117647058826</v>
      </c>
      <c r="L8" s="51">
        <v>8.0971659919028341E-3</v>
      </c>
      <c r="M8" s="52">
        <v>0.79245283018867929</v>
      </c>
      <c r="N8" s="52">
        <v>0.5</v>
      </c>
      <c r="O8" s="52">
        <v>-0.20689655172413793</v>
      </c>
      <c r="P8" s="53">
        <v>9.7777777777777783E-2</v>
      </c>
      <c r="Q8" s="53">
        <v>-5.7142857142857141E-2</v>
      </c>
      <c r="R8" s="51">
        <v>-2.9556650246305417E-2</v>
      </c>
      <c r="S8" s="52">
        <v>-2</v>
      </c>
      <c r="T8" s="53">
        <v>-0.1</v>
      </c>
      <c r="U8" s="53">
        <v>-5.3571428571428568E-2</v>
      </c>
      <c r="V8" s="53">
        <v>-9.0909090909090912E-2</v>
      </c>
      <c r="X8" t="s">
        <v>523</v>
      </c>
      <c r="Z8" s="31" t="s">
        <v>524</v>
      </c>
      <c r="AA8" s="31"/>
    </row>
    <row r="9" spans="1:27" ht="15.6" thickTop="1" thickBot="1" x14ac:dyDescent="0.35">
      <c r="A9" s="13">
        <v>8057300</v>
      </c>
      <c r="B9" s="6" t="s">
        <v>141</v>
      </c>
      <c r="C9" s="2" t="s">
        <v>480</v>
      </c>
      <c r="D9" s="23">
        <v>45119</v>
      </c>
      <c r="E9" s="25" t="s">
        <v>176</v>
      </c>
      <c r="F9" s="36">
        <v>5.3191489361702126E-3</v>
      </c>
      <c r="G9" s="36">
        <v>-2.3529411764705882E-2</v>
      </c>
      <c r="H9" s="36">
        <v>3.6630036630036632E-2</v>
      </c>
      <c r="I9" s="36">
        <v>-2.5316455696202531E-2</v>
      </c>
      <c r="J9" s="36">
        <v>1.3245033112582781E-2</v>
      </c>
      <c r="K9" s="11">
        <v>-3.9215686274509803E-2</v>
      </c>
      <c r="L9" s="36">
        <v>8.8495575221238937E-2</v>
      </c>
      <c r="M9" s="36">
        <v>-2</v>
      </c>
      <c r="N9" s="36">
        <v>0</v>
      </c>
      <c r="O9" s="36">
        <v>5.4054054054054057E-2</v>
      </c>
      <c r="P9" s="36">
        <v>2.5316455696202531E-2</v>
      </c>
      <c r="Q9" s="36">
        <v>0</v>
      </c>
      <c r="R9" s="36">
        <v>0.15602836879432624</v>
      </c>
      <c r="S9" s="36">
        <v>-2</v>
      </c>
      <c r="T9" s="36">
        <v>-4.6511627906976744E-2</v>
      </c>
      <c r="U9" s="36">
        <v>0.71604938271604934</v>
      </c>
      <c r="V9" s="36">
        <v>-2</v>
      </c>
      <c r="X9" t="s">
        <v>523</v>
      </c>
      <c r="Z9" s="31" t="s">
        <v>524</v>
      </c>
      <c r="AA9" s="31"/>
    </row>
    <row r="10" spans="1:27" ht="15.6" thickTop="1" thickBot="1" x14ac:dyDescent="0.35">
      <c r="A10" s="13">
        <v>8051400</v>
      </c>
      <c r="B10" s="6" t="s">
        <v>229</v>
      </c>
      <c r="C10" s="2" t="s">
        <v>311</v>
      </c>
      <c r="D10" s="23">
        <v>45776</v>
      </c>
      <c r="E10" s="32">
        <v>0.34375</v>
      </c>
      <c r="F10" s="11">
        <v>-5.96E-2</v>
      </c>
      <c r="G10" s="11">
        <v>6.0600000000000001E-2</v>
      </c>
      <c r="H10" s="11">
        <v>-4.1700000000000001E-2</v>
      </c>
      <c r="I10" s="11">
        <v>-0.34289999999999998</v>
      </c>
      <c r="J10" s="11">
        <v>-2.8199999999999999E-2</v>
      </c>
      <c r="K10" s="11">
        <v>3.39E-2</v>
      </c>
      <c r="L10" s="11">
        <v>8.2199999999999995E-2</v>
      </c>
      <c r="M10" s="11">
        <v>0</v>
      </c>
      <c r="N10" s="11">
        <v>-0.22220000000000001</v>
      </c>
      <c r="O10" s="11">
        <v>-4.65E-2</v>
      </c>
      <c r="P10" s="11">
        <v>0</v>
      </c>
      <c r="Q10" s="11">
        <v>0</v>
      </c>
      <c r="R10" s="11">
        <v>-3.7699999999999997E-2</v>
      </c>
      <c r="S10" s="11">
        <v>-1.6922999999999999</v>
      </c>
      <c r="T10" s="11">
        <v>-6.9000000000000006E-2</v>
      </c>
      <c r="U10" s="11">
        <v>0</v>
      </c>
      <c r="V10" s="11">
        <v>0</v>
      </c>
      <c r="X10" t="s">
        <v>523</v>
      </c>
      <c r="Z10" s="31" t="s">
        <v>524</v>
      </c>
      <c r="AA10" s="31" t="s">
        <v>555</v>
      </c>
    </row>
    <row r="11" spans="1:27" ht="15.6" thickTop="1" thickBot="1" x14ac:dyDescent="0.35">
      <c r="A11" s="13">
        <v>8037400</v>
      </c>
      <c r="B11" s="6" t="s">
        <v>211</v>
      </c>
      <c r="C11" s="2" t="s">
        <v>293</v>
      </c>
      <c r="D11" s="23">
        <v>45777</v>
      </c>
      <c r="E11" s="32">
        <v>0.32291666666666669</v>
      </c>
      <c r="F11" s="11">
        <v>-0.2278</v>
      </c>
      <c r="G11" s="11">
        <v>-0.23530000000000001</v>
      </c>
      <c r="H11" s="11">
        <v>-0.23530000000000001</v>
      </c>
      <c r="I11" s="11">
        <v>-0.31580000000000003</v>
      </c>
      <c r="J11" s="11">
        <v>0</v>
      </c>
      <c r="K11" s="11">
        <v>-0.28570000000000001</v>
      </c>
      <c r="L11" s="11">
        <v>-0.2394</v>
      </c>
      <c r="M11" s="11">
        <v>0</v>
      </c>
      <c r="N11" s="11">
        <v>-0.18179999999999999</v>
      </c>
      <c r="O11" s="11">
        <v>-0.20810000000000001</v>
      </c>
      <c r="P11" s="11">
        <v>-1.3332999999999999</v>
      </c>
      <c r="Q11" s="11">
        <v>-0.66669999999999996</v>
      </c>
      <c r="R11" s="11">
        <v>0.28570000000000001</v>
      </c>
      <c r="S11" s="11">
        <v>0</v>
      </c>
      <c r="T11" s="11">
        <v>-2</v>
      </c>
      <c r="U11" s="11">
        <v>1.1429</v>
      </c>
      <c r="V11" s="11">
        <v>0</v>
      </c>
      <c r="X11" t="s">
        <v>540</v>
      </c>
      <c r="Z11" s="31" t="s">
        <v>524</v>
      </c>
      <c r="AA11" s="31"/>
    </row>
    <row r="12" spans="1:27" ht="15.6" thickTop="1" thickBot="1" x14ac:dyDescent="0.35">
      <c r="A12" s="13">
        <v>8037300</v>
      </c>
      <c r="B12" s="6" t="s">
        <v>210</v>
      </c>
      <c r="C12" s="2" t="s">
        <v>292</v>
      </c>
      <c r="D12" s="23">
        <v>45778</v>
      </c>
      <c r="E12" s="32">
        <v>0.32291666666666669</v>
      </c>
      <c r="F12" s="11">
        <v>-1.5900000000000001E-2</v>
      </c>
      <c r="G12" s="11">
        <v>1.5299999999999999E-2</v>
      </c>
      <c r="H12" s="11">
        <v>-1.2999999999999999E-2</v>
      </c>
      <c r="I12" s="11">
        <v>-5.5599999999999997E-2</v>
      </c>
      <c r="J12" s="11">
        <v>-0.1</v>
      </c>
      <c r="K12" s="11">
        <v>0</v>
      </c>
      <c r="L12" s="11">
        <v>1.8499999999999999E-2</v>
      </c>
      <c r="M12" s="11">
        <v>0</v>
      </c>
      <c r="N12" s="11">
        <v>-0.35289999999999999</v>
      </c>
      <c r="O12" s="11">
        <v>6.3E-2</v>
      </c>
      <c r="P12" s="11">
        <v>-0.37840000000000001</v>
      </c>
      <c r="Q12" s="11">
        <v>-3.2800000000000003E-2</v>
      </c>
      <c r="R12" s="11">
        <v>9.5200000000000007E-2</v>
      </c>
      <c r="S12" s="11">
        <v>-0.24390000000000001</v>
      </c>
      <c r="T12" s="11">
        <v>-8.6999999999999994E-2</v>
      </c>
      <c r="U12" s="11">
        <v>0</v>
      </c>
      <c r="V12" s="11">
        <v>-2</v>
      </c>
      <c r="X12" t="s">
        <v>523</v>
      </c>
      <c r="Z12" s="31" t="s">
        <v>524</v>
      </c>
      <c r="AA12" s="31"/>
    </row>
    <row r="13" spans="1:27" ht="15.6" thickTop="1" thickBot="1" x14ac:dyDescent="0.35">
      <c r="A13" s="13">
        <v>8048500</v>
      </c>
      <c r="B13" s="6" t="s">
        <v>220</v>
      </c>
      <c r="C13" s="2" t="s">
        <v>302</v>
      </c>
      <c r="D13" s="23">
        <v>45812</v>
      </c>
      <c r="E13" s="32">
        <v>0.63541666666666663</v>
      </c>
      <c r="F13" s="11">
        <v>-1.0999999999999999E-2</v>
      </c>
      <c r="G13" s="11">
        <v>-4.2599999999999999E-2</v>
      </c>
      <c r="H13" s="11">
        <v>1.6400000000000001E-2</v>
      </c>
      <c r="I13" s="11">
        <v>9.5200000000000007E-2</v>
      </c>
      <c r="J13" s="11">
        <v>-4.65E-2</v>
      </c>
      <c r="K13" s="11">
        <v>-1.4286000000000001</v>
      </c>
      <c r="L13" s="11">
        <v>0</v>
      </c>
      <c r="M13" s="11">
        <v>0</v>
      </c>
      <c r="N13" s="11">
        <v>0</v>
      </c>
      <c r="O13" s="11">
        <v>1.7399999999999999E-2</v>
      </c>
      <c r="P13" s="11">
        <v>0</v>
      </c>
      <c r="Q13" s="11">
        <v>0</v>
      </c>
      <c r="R13" s="11">
        <v>0.22220000000000001</v>
      </c>
      <c r="S13" s="11">
        <v>0</v>
      </c>
      <c r="T13" s="11">
        <v>0</v>
      </c>
      <c r="U13" s="11">
        <v>-0.15379999999999999</v>
      </c>
      <c r="V13" s="11">
        <v>0</v>
      </c>
      <c r="X13" t="s">
        <v>523</v>
      </c>
      <c r="Z13" s="31" t="s">
        <v>556</v>
      </c>
      <c r="AA13" s="31"/>
    </row>
    <row r="14" spans="1:27" ht="15.6" thickTop="1" thickBot="1" x14ac:dyDescent="0.35">
      <c r="A14" s="13">
        <v>8052000</v>
      </c>
      <c r="B14" s="6" t="s">
        <v>232</v>
      </c>
      <c r="C14" s="2" t="s">
        <v>314</v>
      </c>
      <c r="D14" s="23">
        <v>45812</v>
      </c>
      <c r="E14" s="32">
        <v>0.35416666666666669</v>
      </c>
      <c r="F14" s="11">
        <v>-7.0599999999999996E-2</v>
      </c>
      <c r="G14" s="11">
        <v>-5.7799999999999997E-2</v>
      </c>
      <c r="H14" s="11">
        <v>1.34E-2</v>
      </c>
      <c r="I14" s="11">
        <v>-2</v>
      </c>
      <c r="J14" s="11">
        <v>-0.75</v>
      </c>
      <c r="K14" s="11">
        <v>0</v>
      </c>
      <c r="L14" s="11">
        <v>-6.2100000000000002E-2</v>
      </c>
      <c r="M14" s="11">
        <v>0</v>
      </c>
      <c r="N14" s="11">
        <v>0</v>
      </c>
      <c r="O14" s="11">
        <v>1.4200000000000001E-2</v>
      </c>
      <c r="P14" s="11">
        <v>0</v>
      </c>
      <c r="Q14" s="11">
        <v>0</v>
      </c>
      <c r="R14" s="11">
        <v>0</v>
      </c>
      <c r="S14" s="11">
        <v>-2</v>
      </c>
      <c r="T14" s="11">
        <v>0.22220000000000001</v>
      </c>
      <c r="U14" s="11">
        <v>0</v>
      </c>
      <c r="V14" s="11">
        <v>-2</v>
      </c>
      <c r="X14" t="s">
        <v>523</v>
      </c>
      <c r="Z14" s="31" t="s">
        <v>556</v>
      </c>
      <c r="AA14" s="31"/>
    </row>
    <row r="15" spans="1:27" ht="15.6" thickTop="1" thickBot="1" x14ac:dyDescent="0.35">
      <c r="A15" s="13">
        <v>8015500</v>
      </c>
      <c r="B15" s="6" t="s">
        <v>4</v>
      </c>
      <c r="C15" s="2" t="s">
        <v>370</v>
      </c>
      <c r="D15" s="23">
        <v>45119</v>
      </c>
      <c r="E15" s="23" t="s">
        <v>177</v>
      </c>
      <c r="F15" s="11">
        <v>-4.4855549923973601E-2</v>
      </c>
      <c r="G15" s="11">
        <v>-0.40837696335078533</v>
      </c>
      <c r="H15" s="11">
        <v>-4.133545310015898E-2</v>
      </c>
      <c r="I15" s="11">
        <v>0</v>
      </c>
      <c r="J15" s="11">
        <v>0</v>
      </c>
      <c r="K15" s="11">
        <v>-0.4</v>
      </c>
      <c r="L15" s="11">
        <v>-0.4157706093189964</v>
      </c>
      <c r="M15" s="11">
        <v>0</v>
      </c>
      <c r="N15" s="11">
        <v>0</v>
      </c>
      <c r="O15" s="11">
        <v>-4.2553191489361701E-2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</row>
    <row r="16" spans="1:27" ht="15.6" thickTop="1" thickBot="1" x14ac:dyDescent="0.35">
      <c r="A16" s="13">
        <v>8025600</v>
      </c>
      <c r="B16" s="6" t="s">
        <v>69</v>
      </c>
      <c r="C16" s="2" t="s">
        <v>394</v>
      </c>
      <c r="D16" s="23">
        <v>45117</v>
      </c>
      <c r="E16" s="25" t="s">
        <v>176</v>
      </c>
      <c r="F16" s="11">
        <v>-3.669724770642202E-2</v>
      </c>
      <c r="G16" s="11">
        <v>-6.5573770491803282E-2</v>
      </c>
      <c r="H16" s="11">
        <v>-0.15652173913043479</v>
      </c>
      <c r="I16" s="11">
        <v>5.4644808743169397E-2</v>
      </c>
      <c r="J16" s="11">
        <v>-3.4188034188034191E-2</v>
      </c>
      <c r="K16" s="11">
        <v>0</v>
      </c>
      <c r="L16" s="11">
        <v>-0.14084507042253522</v>
      </c>
      <c r="M16" s="11">
        <v>7.407407407407407E-2</v>
      </c>
      <c r="N16" s="11">
        <v>0</v>
      </c>
      <c r="O16" s="11">
        <v>-0.11764705882352941</v>
      </c>
      <c r="P16" s="11">
        <v>-0.24390243902439024</v>
      </c>
      <c r="Q16" s="11">
        <v>6.8965517241379309E-2</v>
      </c>
      <c r="R16" s="11">
        <v>0</v>
      </c>
      <c r="S16" s="11">
        <v>0.33333333333333331</v>
      </c>
      <c r="T16" s="11">
        <v>-7.407407407407407E-2</v>
      </c>
      <c r="U16" s="11">
        <v>-0.5625</v>
      </c>
      <c r="V16" s="11">
        <v>1.3076923076923077</v>
      </c>
    </row>
    <row r="17" spans="1:27" ht="15.6" thickTop="1" thickBot="1" x14ac:dyDescent="0.35">
      <c r="A17" s="13">
        <v>8043800</v>
      </c>
      <c r="B17" s="6" t="s">
        <v>12</v>
      </c>
      <c r="C17" s="2" t="s">
        <v>444</v>
      </c>
      <c r="D17" s="23">
        <v>45098</v>
      </c>
      <c r="E17" s="24" t="s">
        <v>176</v>
      </c>
      <c r="F17" s="11">
        <v>-0.38228055783429038</v>
      </c>
      <c r="G17" s="11">
        <v>0</v>
      </c>
      <c r="H17" s="11">
        <v>0</v>
      </c>
      <c r="I17" s="11">
        <v>-0.13682092555331993</v>
      </c>
      <c r="J17" s="11">
        <v>-9.7794822627037398E-2</v>
      </c>
      <c r="K17" s="11">
        <v>-9.5238095238095233E-2</v>
      </c>
      <c r="L17" s="11">
        <v>7.6923076923076927E-2</v>
      </c>
      <c r="M17" s="11">
        <v>0.15384615384615385</v>
      </c>
      <c r="N17" s="11">
        <v>-0.10256410256410256</v>
      </c>
      <c r="O17" s="11">
        <v>0.14285714285714285</v>
      </c>
      <c r="P17" s="11">
        <v>0</v>
      </c>
      <c r="Q17" s="11">
        <v>-0.18181818181818182</v>
      </c>
      <c r="R17" s="11">
        <v>-0.12446351931330472</v>
      </c>
      <c r="S17" s="11">
        <v>-0.35294117647058826</v>
      </c>
      <c r="T17" s="11">
        <v>-3.5087719298245612E-2</v>
      </c>
      <c r="U17" s="11">
        <v>-0.11510791366906475</v>
      </c>
      <c r="V17" s="11">
        <v>-2.1052631578947368E-2</v>
      </c>
    </row>
    <row r="18" spans="1:27" ht="15.6" thickTop="1" thickBot="1" x14ac:dyDescent="0.35">
      <c r="A18" s="13">
        <v>8013100</v>
      </c>
      <c r="B18" s="6" t="s">
        <v>14</v>
      </c>
      <c r="C18" s="2" t="s">
        <v>366</v>
      </c>
      <c r="D18" s="23">
        <v>45098</v>
      </c>
      <c r="E18" s="24" t="s">
        <v>176</v>
      </c>
      <c r="F18" s="11">
        <v>-0.17454688731284476</v>
      </c>
      <c r="G18" s="11">
        <v>2.0477815699658702E-2</v>
      </c>
      <c r="H18" s="11">
        <v>-2.0876826722338204E-2</v>
      </c>
      <c r="I18" s="11">
        <v>8.6021505376344093E-2</v>
      </c>
      <c r="J18" s="11">
        <v>0</v>
      </c>
      <c r="K18" s="11">
        <v>-9.5238095238095233E-2</v>
      </c>
      <c r="L18" s="11">
        <v>2.5862068965517241E-2</v>
      </c>
      <c r="M18" s="11">
        <v>1.9801980198019802E-2</v>
      </c>
      <c r="N18" s="11">
        <v>0.1</v>
      </c>
      <c r="O18" s="11">
        <v>-2.4691358024691357E-2</v>
      </c>
      <c r="P18" s="11">
        <v>-0.11764705882352941</v>
      </c>
      <c r="Q18" s="11">
        <v>9.7560975609756101E-2</v>
      </c>
      <c r="R18" s="11">
        <v>0.125</v>
      </c>
      <c r="S18" s="11">
        <v>5.5555555555555552E-2</v>
      </c>
      <c r="T18" s="11">
        <v>-8.3333333333333329E-2</v>
      </c>
      <c r="U18" s="11">
        <v>4.6511627906976744E-2</v>
      </c>
      <c r="V18" s="11">
        <v>0.10526315789473684</v>
      </c>
    </row>
    <row r="19" spans="1:27" ht="15.6" thickTop="1" thickBot="1" x14ac:dyDescent="0.35">
      <c r="A19" s="13">
        <v>8038800</v>
      </c>
      <c r="B19" s="6" t="s">
        <v>100</v>
      </c>
      <c r="C19" s="2" t="s">
        <v>431</v>
      </c>
      <c r="D19" s="23">
        <v>45110</v>
      </c>
      <c r="E19" s="25" t="s">
        <v>174</v>
      </c>
      <c r="F19" s="11">
        <v>-0.20026702269692923</v>
      </c>
      <c r="G19" s="11">
        <v>-0.26022304832713755</v>
      </c>
      <c r="H19" s="11">
        <v>5.4200542005420054E-3</v>
      </c>
      <c r="I19" s="11">
        <v>-0.84444444444444444</v>
      </c>
      <c r="J19" s="11">
        <v>-0.2857142857142857</v>
      </c>
      <c r="K19" s="11">
        <v>0</v>
      </c>
      <c r="L19" s="11">
        <v>-0.25327510917030566</v>
      </c>
      <c r="M19" s="11">
        <v>-0.375</v>
      </c>
      <c r="N19" s="11">
        <v>-0.08</v>
      </c>
      <c r="O19" s="11">
        <v>5.1948051948051951E-2</v>
      </c>
      <c r="P19" s="11">
        <v>-0.90909090909090906</v>
      </c>
      <c r="Q19" s="11">
        <v>0</v>
      </c>
      <c r="R19" s="11">
        <v>-0.4</v>
      </c>
      <c r="S19" s="11">
        <v>-1.3454545454545455</v>
      </c>
      <c r="T19" s="11">
        <v>-0.18181818181818182</v>
      </c>
      <c r="U19" s="11">
        <v>0.4</v>
      </c>
      <c r="V19" s="11">
        <v>-1.2</v>
      </c>
    </row>
    <row r="20" spans="1:27" ht="15.6" thickTop="1" thickBot="1" x14ac:dyDescent="0.35">
      <c r="A20" s="13">
        <v>8021000</v>
      </c>
      <c r="B20" s="6" t="s">
        <v>58</v>
      </c>
      <c r="C20" s="2" t="s">
        <v>381</v>
      </c>
      <c r="D20" s="23">
        <v>45104</v>
      </c>
      <c r="E20" s="25" t="s">
        <v>174</v>
      </c>
      <c r="F20" s="11">
        <v>-0.37333333333333335</v>
      </c>
      <c r="G20" s="11">
        <v>-0.25149700598802394</v>
      </c>
      <c r="H20" s="11">
        <v>-0.58823529411764708</v>
      </c>
      <c r="I20" s="11">
        <v>0</v>
      </c>
      <c r="J20" s="11">
        <v>0</v>
      </c>
      <c r="K20" s="11">
        <v>-0.5</v>
      </c>
      <c r="L20" s="11">
        <v>-0.2389937106918239</v>
      </c>
      <c r="M20" s="11">
        <v>0</v>
      </c>
      <c r="N20" s="11">
        <v>0</v>
      </c>
      <c r="O20" s="11">
        <v>-0.58823529411764708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</row>
    <row r="21" spans="1:27" ht="15.6" thickTop="1" thickBot="1" x14ac:dyDescent="0.35">
      <c r="A21" s="13">
        <v>8029100</v>
      </c>
      <c r="B21" s="6" t="s">
        <v>83</v>
      </c>
      <c r="C21" s="2" t="s">
        <v>411</v>
      </c>
      <c r="D21" s="23">
        <v>45125</v>
      </c>
      <c r="E21" s="25" t="s">
        <v>174</v>
      </c>
      <c r="F21" s="11">
        <v>-3.4766697163769442E-2</v>
      </c>
      <c r="G21" s="11">
        <v>-2.8747433264887063E-2</v>
      </c>
      <c r="H21" s="11">
        <v>-7.6335877862595417E-3</v>
      </c>
      <c r="I21" s="11">
        <v>-0.37037037037037035</v>
      </c>
      <c r="J21" s="11">
        <v>0</v>
      </c>
      <c r="K21" s="11">
        <v>0</v>
      </c>
      <c r="L21" s="11">
        <v>-2.7027027027027029E-2</v>
      </c>
      <c r="M21" s="11">
        <v>-8.6956521739130432E-2</v>
      </c>
      <c r="N21" s="11">
        <v>-2.5316455696202531E-2</v>
      </c>
      <c r="O21" s="11">
        <v>-9.3023255813953487E-3</v>
      </c>
      <c r="P21" s="11">
        <v>0.13333333333333333</v>
      </c>
      <c r="Q21" s="11">
        <v>0</v>
      </c>
      <c r="R21" s="11">
        <v>-0.66666666666666663</v>
      </c>
      <c r="S21" s="11">
        <v>-0.41860465116279072</v>
      </c>
      <c r="T21" s="11">
        <v>-0.10526315789473684</v>
      </c>
      <c r="U21" s="11">
        <v>0.4</v>
      </c>
      <c r="V21" s="11">
        <v>0</v>
      </c>
    </row>
    <row r="22" spans="1:27" ht="15.6" thickTop="1" thickBot="1" x14ac:dyDescent="0.35">
      <c r="A22" s="13">
        <v>8013500</v>
      </c>
      <c r="B22" s="6" t="s">
        <v>15</v>
      </c>
      <c r="C22" s="2" t="s">
        <v>368</v>
      </c>
      <c r="D22" s="23">
        <v>45112</v>
      </c>
      <c r="E22" s="24" t="s">
        <v>177</v>
      </c>
      <c r="F22" s="11">
        <v>0.25917215428033868</v>
      </c>
      <c r="G22" s="11">
        <v>-1.5174506828528073E-2</v>
      </c>
      <c r="H22" s="11">
        <v>-5.9405940594059403E-2</v>
      </c>
      <c r="I22" s="11">
        <v>-2.4242424242424242E-2</v>
      </c>
      <c r="J22" s="11">
        <v>-1.4492753623188406E-2</v>
      </c>
      <c r="K22" s="11">
        <v>1.3009708737864079</v>
      </c>
      <c r="L22" s="11">
        <v>-1.4551971326164874</v>
      </c>
      <c r="M22" s="11">
        <v>-8.4507042253521125E-2</v>
      </c>
      <c r="N22" s="11">
        <v>-2.8169014084507043E-2</v>
      </c>
      <c r="O22" s="11">
        <v>-0.15172413793103448</v>
      </c>
      <c r="P22" s="11">
        <v>0.50847457627118642</v>
      </c>
      <c r="Q22" s="11">
        <v>-0.625</v>
      </c>
      <c r="R22" s="11">
        <v>7.792207792207792E-2</v>
      </c>
      <c r="S22" s="11">
        <v>0</v>
      </c>
      <c r="T22" s="11">
        <v>-0.66666666666666663</v>
      </c>
      <c r="U22" s="11">
        <v>9.7560975609756097E-3</v>
      </c>
      <c r="V22" s="11">
        <v>-3.0769230769230771E-2</v>
      </c>
    </row>
    <row r="23" spans="1:27" ht="15.6" thickTop="1" thickBot="1" x14ac:dyDescent="0.35">
      <c r="A23" s="13">
        <v>8031600</v>
      </c>
      <c r="B23" s="6" t="s">
        <v>86</v>
      </c>
      <c r="C23" s="2" t="s">
        <v>415</v>
      </c>
      <c r="D23" s="23">
        <v>45348</v>
      </c>
      <c r="E23" s="25" t="s">
        <v>177</v>
      </c>
      <c r="F23" s="11">
        <v>-0.13111726685133887</v>
      </c>
      <c r="G23" s="11">
        <v>-0.14925373134328357</v>
      </c>
      <c r="H23" s="11">
        <v>-0.1511500547645126</v>
      </c>
      <c r="I23" s="11">
        <v>0</v>
      </c>
      <c r="J23" s="11">
        <v>-4.1884816753926704E-2</v>
      </c>
      <c r="K23" s="11">
        <v>-0.31304347826086959</v>
      </c>
      <c r="L23" s="11">
        <v>-9.1338582677165353E-2</v>
      </c>
      <c r="M23" s="11">
        <v>0</v>
      </c>
      <c r="N23" s="11">
        <v>0</v>
      </c>
      <c r="O23" s="11">
        <v>-4.9382716049382713E-2</v>
      </c>
      <c r="P23" s="11">
        <v>-0.95145631067961167</v>
      </c>
      <c r="Q23" s="11">
        <v>0</v>
      </c>
      <c r="R23" s="11">
        <v>0</v>
      </c>
      <c r="S23" s="11">
        <v>0</v>
      </c>
      <c r="T23" s="11">
        <v>-0.14285714285714285</v>
      </c>
      <c r="U23" s="11">
        <v>0</v>
      </c>
      <c r="V23" s="11">
        <v>-1.3422818791946308E-2</v>
      </c>
    </row>
    <row r="24" spans="1:27" ht="15.6" thickTop="1" thickBot="1" x14ac:dyDescent="0.35">
      <c r="A24" s="13">
        <v>8052700</v>
      </c>
      <c r="B24" s="6" t="s">
        <v>120</v>
      </c>
      <c r="C24" s="2" t="s">
        <v>457</v>
      </c>
      <c r="D24" s="23">
        <v>45355</v>
      </c>
      <c r="E24" s="25" t="s">
        <v>177</v>
      </c>
      <c r="F24" s="11">
        <v>-6.2145366117265601E-2</v>
      </c>
      <c r="G24" s="11">
        <v>-0.13212669683257919</v>
      </c>
      <c r="H24" s="11">
        <v>-2.9069767441860499E-2</v>
      </c>
      <c r="I24" s="11">
        <v>-1.9310344827586208E-2</v>
      </c>
      <c r="J24" s="11">
        <v>-6.0606060606060608E-2</v>
      </c>
      <c r="K24" s="11">
        <v>-0.96875</v>
      </c>
      <c r="L24" s="11">
        <v>-2.564102564102564E-2</v>
      </c>
      <c r="M24" s="11">
        <v>-1.015228426395939E-2</v>
      </c>
      <c r="N24" s="11">
        <v>-0.10126582278481013</v>
      </c>
      <c r="O24" s="11">
        <v>-1.4285714285714285E-2</v>
      </c>
      <c r="P24" s="11">
        <v>-8.1632653061224483E-2</v>
      </c>
      <c r="Q24" s="11">
        <v>-0.19672131147540983</v>
      </c>
      <c r="R24" s="11">
        <v>0.67741935483870963</v>
      </c>
      <c r="S24" s="11">
        <v>-2</v>
      </c>
      <c r="T24" s="11">
        <v>-0.23076923076923078</v>
      </c>
      <c r="U24" s="11">
        <v>0.75714285714285712</v>
      </c>
      <c r="V24" s="11">
        <v>-1.9639639639639639</v>
      </c>
    </row>
    <row r="25" spans="1:27" ht="15.6" thickTop="1" thickBot="1" x14ac:dyDescent="0.35">
      <c r="A25" s="13">
        <v>8005200</v>
      </c>
      <c r="B25" s="6" t="s">
        <v>34</v>
      </c>
      <c r="C25" s="2" t="s">
        <v>353</v>
      </c>
      <c r="D25" s="23">
        <v>45098</v>
      </c>
      <c r="E25" s="23" t="s">
        <v>177</v>
      </c>
      <c r="F25" s="11">
        <v>1.44E-2</v>
      </c>
      <c r="G25" s="11">
        <v>1.2711864406779662E-2</v>
      </c>
      <c r="H25" s="11">
        <v>2.1024967148488831E-2</v>
      </c>
      <c r="I25" s="11">
        <v>-4.2148760330578509E-2</v>
      </c>
      <c r="J25" s="11">
        <v>-0.20801317233809002</v>
      </c>
      <c r="K25" s="11">
        <v>-0.1619718309859155</v>
      </c>
      <c r="L25" s="11">
        <v>8.8693957115009742E-2</v>
      </c>
      <c r="M25" s="11">
        <v>-0.25471698113207547</v>
      </c>
      <c r="N25" s="11">
        <v>-9.6385542168674704E-2</v>
      </c>
      <c r="O25" s="11">
        <v>4.4491525423728813E-2</v>
      </c>
      <c r="P25" s="11">
        <v>-4.0404040404040404E-3</v>
      </c>
      <c r="Q25" s="11">
        <v>-7.2202166064981949E-2</v>
      </c>
      <c r="R25" s="11">
        <v>3.1210986267166042E-2</v>
      </c>
      <c r="S25" s="11">
        <v>-0.42424242424242425</v>
      </c>
      <c r="T25" s="11">
        <v>-0.16235632183908047</v>
      </c>
      <c r="U25" s="11">
        <v>1.3812154696132596E-2</v>
      </c>
      <c r="V25" s="11">
        <v>-0.68656716417910446</v>
      </c>
    </row>
    <row r="26" spans="1:27" ht="15.6" thickTop="1" thickBot="1" x14ac:dyDescent="0.35">
      <c r="A26" s="13">
        <v>8024100</v>
      </c>
      <c r="B26" s="6" t="s">
        <v>65</v>
      </c>
      <c r="C26" s="2" t="s">
        <v>389</v>
      </c>
      <c r="D26" s="23">
        <v>45110</v>
      </c>
      <c r="E26" s="25" t="s">
        <v>176</v>
      </c>
      <c r="F26" s="11">
        <v>-0.3163538873994638</v>
      </c>
      <c r="G26" s="11">
        <v>-0.50632911392405067</v>
      </c>
      <c r="H26" s="11">
        <v>-0.18439716312056736</v>
      </c>
      <c r="I26" s="11">
        <v>-0.18181818181818182</v>
      </c>
      <c r="J26" s="11">
        <v>0</v>
      </c>
      <c r="K26" s="11">
        <v>-0.66666666666666663</v>
      </c>
      <c r="L26" s="11">
        <v>-0.5864661654135338</v>
      </c>
      <c r="M26" s="11">
        <v>0</v>
      </c>
      <c r="N26" s="11">
        <v>-0.31578947368421051</v>
      </c>
      <c r="O26" s="11">
        <v>-9.1743119266055051E-2</v>
      </c>
      <c r="P26" s="11">
        <v>-0.76923076923076927</v>
      </c>
      <c r="Q26" s="11">
        <v>-1.3846153846153846</v>
      </c>
      <c r="R26" s="11">
        <v>1.2</v>
      </c>
      <c r="S26" s="11">
        <v>-2</v>
      </c>
      <c r="T26" s="11">
        <v>0</v>
      </c>
      <c r="U26" s="11">
        <v>0</v>
      </c>
      <c r="V26" s="11">
        <v>0</v>
      </c>
    </row>
    <row r="27" spans="1:27" ht="15.6" thickTop="1" thickBot="1" x14ac:dyDescent="0.35">
      <c r="A27" s="13">
        <v>8056000</v>
      </c>
      <c r="B27" s="6" t="s">
        <v>135</v>
      </c>
      <c r="C27" s="2" t="s">
        <v>473</v>
      </c>
      <c r="D27" s="23">
        <v>45118</v>
      </c>
      <c r="E27" s="25" t="s">
        <v>176</v>
      </c>
      <c r="F27" s="11">
        <v>-7.7738515901060068E-2</v>
      </c>
      <c r="G27" s="11">
        <v>-3.870967741935484E-2</v>
      </c>
      <c r="H27" s="11">
        <v>2.1052631578947368E-2</v>
      </c>
      <c r="I27" s="11">
        <v>-0.1276595744680851</v>
      </c>
      <c r="J27" s="11">
        <v>-0.12612612612612611</v>
      </c>
      <c r="K27" s="11">
        <v>-0.66666666666666663</v>
      </c>
      <c r="L27" s="11">
        <v>2.0202020202020204E-2</v>
      </c>
      <c r="M27" s="11">
        <v>-0.08</v>
      </c>
      <c r="N27" s="11">
        <v>0</v>
      </c>
      <c r="O27" s="11">
        <v>3.6363636363636362E-2</v>
      </c>
      <c r="P27" s="11">
        <v>0</v>
      </c>
      <c r="Q27" s="11">
        <v>-0.15384615384615385</v>
      </c>
      <c r="R27" s="11">
        <v>-2.5974025974025976E-2</v>
      </c>
      <c r="S27" s="11">
        <v>-2</v>
      </c>
      <c r="T27" s="11">
        <v>-0.72</v>
      </c>
      <c r="U27" s="11">
        <v>0</v>
      </c>
      <c r="V27" s="11">
        <v>-2</v>
      </c>
    </row>
    <row r="28" spans="1:27" ht="15.6" thickTop="1" thickBot="1" x14ac:dyDescent="0.35">
      <c r="A28" s="13">
        <v>8040000</v>
      </c>
      <c r="B28" s="6" t="s">
        <v>104</v>
      </c>
      <c r="C28" s="2" t="s">
        <v>437</v>
      </c>
      <c r="D28" s="23">
        <v>45350</v>
      </c>
      <c r="E28" s="25" t="s">
        <v>177</v>
      </c>
      <c r="F28" s="11">
        <v>-0.24768946395563771</v>
      </c>
      <c r="G28" s="11">
        <v>-6.4516129032258063E-2</v>
      </c>
      <c r="H28" s="11">
        <v>-1.044776119402985</v>
      </c>
      <c r="I28" s="11">
        <v>-0.12639405204460966</v>
      </c>
      <c r="J28" s="11">
        <v>-0.35520000000000002</v>
      </c>
      <c r="K28" s="11">
        <v>-9.0909090909090912E-2</v>
      </c>
      <c r="L28" s="11">
        <v>-0.46153846153846156</v>
      </c>
      <c r="M28" s="11">
        <v>2.9850746268656716E-2</v>
      </c>
      <c r="N28" s="11">
        <v>-2</v>
      </c>
      <c r="O28" s="11">
        <v>-0.4</v>
      </c>
      <c r="P28" s="11">
        <v>-0.8</v>
      </c>
      <c r="Q28" s="11">
        <v>-0.44897959183673469</v>
      </c>
      <c r="R28" s="11">
        <v>-0.10584958217270195</v>
      </c>
      <c r="S28" s="11">
        <v>-0.1</v>
      </c>
      <c r="T28" s="11">
        <v>0</v>
      </c>
      <c r="U28" s="11">
        <v>-0.39160839160839161</v>
      </c>
      <c r="V28" s="11">
        <v>6.4516129032258063E-2</v>
      </c>
    </row>
    <row r="29" spans="1:27" ht="15.6" thickTop="1" thickBot="1" x14ac:dyDescent="0.35">
      <c r="A29" s="13">
        <v>8035100</v>
      </c>
      <c r="B29" s="6" t="s">
        <v>206</v>
      </c>
      <c r="C29" s="2" t="s">
        <v>288</v>
      </c>
      <c r="D29" s="23">
        <v>45813</v>
      </c>
      <c r="E29" s="32">
        <v>0.625</v>
      </c>
      <c r="F29" s="11">
        <v>2.2200000000000001E-2</v>
      </c>
      <c r="G29" s="11">
        <v>2.8500000000000001E-2</v>
      </c>
      <c r="H29" s="11">
        <v>4.0599999999999997E-2</v>
      </c>
      <c r="I29" s="11">
        <v>-0.35289999999999999</v>
      </c>
      <c r="J29" s="11">
        <v>6.4000000000000003E-3</v>
      </c>
      <c r="K29" s="11">
        <v>0</v>
      </c>
      <c r="L29" s="11">
        <v>3.8600000000000002E-2</v>
      </c>
      <c r="M29" s="11">
        <v>0</v>
      </c>
      <c r="N29" s="11">
        <v>0</v>
      </c>
      <c r="O29" s="11">
        <v>6.59E-2</v>
      </c>
      <c r="P29" s="11">
        <v>0</v>
      </c>
      <c r="Q29" s="11">
        <v>0</v>
      </c>
      <c r="R29" s="11">
        <v>0</v>
      </c>
      <c r="S29" s="11">
        <v>-0.85719999999999996</v>
      </c>
      <c r="T29" s="11">
        <v>-9.64E-2</v>
      </c>
      <c r="U29" s="11">
        <v>0.58850000000000002</v>
      </c>
      <c r="V29" s="11">
        <v>6.1499999999999999E-2</v>
      </c>
      <c r="X29" t="s">
        <v>523</v>
      </c>
      <c r="Z29" s="31" t="s">
        <v>557</v>
      </c>
      <c r="AA29" s="31" t="s">
        <v>558</v>
      </c>
    </row>
    <row r="30" spans="1:27" ht="15.6" thickTop="1" thickBot="1" x14ac:dyDescent="0.35">
      <c r="A30" s="13">
        <v>8049100</v>
      </c>
      <c r="B30" s="6" t="s">
        <v>223</v>
      </c>
      <c r="C30" s="2" t="s">
        <v>305</v>
      </c>
      <c r="D30" s="23">
        <v>45817</v>
      </c>
      <c r="E30" s="32">
        <v>0.52083333333333337</v>
      </c>
      <c r="F30" s="11">
        <v>-8.8499999999999995E-2</v>
      </c>
      <c r="G30" s="11">
        <v>-0.1235</v>
      </c>
      <c r="H30" s="11">
        <v>6.9000000000000006E-2</v>
      </c>
      <c r="I30" s="11">
        <v>-0.2205</v>
      </c>
      <c r="J30" s="11">
        <v>1.9699999999999999E-2</v>
      </c>
      <c r="K30" s="11">
        <v>-0.47620000000000001</v>
      </c>
      <c r="L30" s="11">
        <v>0.66669999999999996</v>
      </c>
      <c r="M30" s="11">
        <v>0.22220000000000001</v>
      </c>
      <c r="N30" s="11">
        <v>0</v>
      </c>
      <c r="O30" s="11">
        <v>0.1176</v>
      </c>
      <c r="P30" s="11">
        <v>0</v>
      </c>
      <c r="Q30" s="11">
        <v>0</v>
      </c>
      <c r="R30" s="11">
        <v>-0.25779999999999997</v>
      </c>
      <c r="S30" s="11">
        <v>0</v>
      </c>
      <c r="T30" s="11">
        <v>0.1429</v>
      </c>
      <c r="U30" s="11">
        <v>8.3000000000000001E-3</v>
      </c>
      <c r="V30" s="11">
        <v>0</v>
      </c>
      <c r="X30" t="s">
        <v>540</v>
      </c>
      <c r="Z30" s="31" t="s">
        <v>557</v>
      </c>
      <c r="AA30" s="31" t="s">
        <v>555</v>
      </c>
    </row>
    <row r="31" spans="1:27" ht="15.6" thickTop="1" thickBot="1" x14ac:dyDescent="0.35">
      <c r="A31" s="13">
        <v>8049200</v>
      </c>
      <c r="B31" s="6" t="s">
        <v>116</v>
      </c>
      <c r="C31" s="2" t="s">
        <v>452</v>
      </c>
      <c r="D31" s="23">
        <v>45323</v>
      </c>
      <c r="E31" s="25" t="s">
        <v>177</v>
      </c>
      <c r="F31" s="11">
        <v>-9.1240343973181745E-2</v>
      </c>
      <c r="G31" s="11">
        <v>-3.6036036036036036E-2</v>
      </c>
      <c r="H31" s="11">
        <v>-1.1363636363636364E-2</v>
      </c>
      <c r="I31" s="11">
        <v>-0.63915450427780574</v>
      </c>
      <c r="J31" s="11">
        <v>-4.0114613180515762E-2</v>
      </c>
      <c r="K31" s="11">
        <v>-2.7548209366391185E-2</v>
      </c>
      <c r="L31" s="11">
        <v>-0.24615384615384617</v>
      </c>
      <c r="M31" s="11">
        <v>-7.1513706793802142E-3</v>
      </c>
      <c r="N31" s="11">
        <v>1.9417475728155338E-2</v>
      </c>
      <c r="O31" s="11">
        <v>-0.24113475177304963</v>
      </c>
      <c r="P31" s="11">
        <v>0</v>
      </c>
      <c r="Q31" s="11">
        <v>-0.61194029850746268</v>
      </c>
      <c r="R31" s="11">
        <v>-0.15122873345935728</v>
      </c>
      <c r="S31" s="11">
        <v>-1.9898218829516539</v>
      </c>
      <c r="T31" s="11">
        <v>-1.015228426395939E-2</v>
      </c>
      <c r="U31" s="11">
        <v>-5.0655021834061134E-2</v>
      </c>
      <c r="V31" s="11">
        <v>-3.8834951456310676E-2</v>
      </c>
    </row>
    <row r="32" spans="1:27" ht="15.6" thickTop="1" thickBot="1" x14ac:dyDescent="0.35">
      <c r="A32" s="13">
        <v>8054500</v>
      </c>
      <c r="B32" s="6" t="s">
        <v>126</v>
      </c>
      <c r="C32" s="2" t="s">
        <v>463</v>
      </c>
      <c r="D32" s="23">
        <v>45295</v>
      </c>
      <c r="E32" s="25" t="s">
        <v>174</v>
      </c>
      <c r="F32" s="11">
        <v>4.7722342733188719E-2</v>
      </c>
      <c r="G32" s="11">
        <v>5.2631578947368418E-2</v>
      </c>
      <c r="H32" s="11">
        <v>9.0909090909090912E-2</v>
      </c>
      <c r="I32" s="11">
        <v>1.4814814814814815E-2</v>
      </c>
      <c r="J32" s="11">
        <v>5.8252427184466021E-2</v>
      </c>
      <c r="K32" s="11">
        <v>0.20689655172413793</v>
      </c>
      <c r="L32" s="11">
        <v>-0.5714285714285714</v>
      </c>
      <c r="M32" s="11">
        <v>0</v>
      </c>
      <c r="N32" s="11">
        <v>0</v>
      </c>
      <c r="O32" s="11">
        <v>-0.25</v>
      </c>
      <c r="P32" s="11">
        <v>0.30769230769230771</v>
      </c>
      <c r="Q32" s="11">
        <v>0.66666666666666663</v>
      </c>
      <c r="R32" s="11">
        <v>0</v>
      </c>
      <c r="S32" s="11">
        <v>0</v>
      </c>
      <c r="T32" s="11">
        <v>5.4054054054054057E-2</v>
      </c>
      <c r="U32" s="11">
        <v>6.0606060606060608E-2</v>
      </c>
      <c r="V32" s="11">
        <v>5.4054054054054057E-2</v>
      </c>
    </row>
    <row r="33" spans="1:27" ht="15.6" thickTop="1" thickBot="1" x14ac:dyDescent="0.35">
      <c r="A33" s="13">
        <v>8056300</v>
      </c>
      <c r="B33" s="6" t="s">
        <v>137</v>
      </c>
      <c r="C33" s="2" t="s">
        <v>476</v>
      </c>
      <c r="D33" s="23">
        <v>45357</v>
      </c>
      <c r="E33" s="25" t="s">
        <v>177</v>
      </c>
      <c r="F33" s="11">
        <v>-0.40416047548291234</v>
      </c>
      <c r="G33" s="11">
        <v>2.8985507246376812E-2</v>
      </c>
      <c r="H33" s="11" t="s">
        <v>13</v>
      </c>
      <c r="I33" s="11">
        <v>-0.28919330289193301</v>
      </c>
      <c r="J33" s="11">
        <v>-0.64972776769509977</v>
      </c>
      <c r="K33" s="11">
        <v>-3.3898305084745763E-2</v>
      </c>
      <c r="L33" s="11">
        <v>2</v>
      </c>
      <c r="M33" s="11">
        <v>5.128205128205128E-2</v>
      </c>
      <c r="N33" s="11" t="s">
        <v>13</v>
      </c>
      <c r="O33" s="11" t="s">
        <v>13</v>
      </c>
      <c r="P33" s="11" t="s">
        <v>13</v>
      </c>
      <c r="Q33" s="11">
        <v>0</v>
      </c>
      <c r="R33" s="11">
        <v>-0.31301482701812189</v>
      </c>
      <c r="S33" s="11" t="s">
        <v>13</v>
      </c>
      <c r="T33" s="11" t="s">
        <v>13</v>
      </c>
      <c r="U33" s="11">
        <v>-0.77637130801687759</v>
      </c>
      <c r="V33" s="11">
        <v>0.12987012987012986</v>
      </c>
    </row>
    <row r="34" spans="1:27" ht="13.95" customHeight="1" thickTop="1" thickBot="1" x14ac:dyDescent="0.35">
      <c r="A34" s="13">
        <v>8046600</v>
      </c>
      <c r="B34" s="6" t="s">
        <v>113</v>
      </c>
      <c r="C34" s="2" t="s">
        <v>448</v>
      </c>
      <c r="D34" s="23">
        <v>45113</v>
      </c>
      <c r="E34" s="25" t="s">
        <v>176</v>
      </c>
      <c r="F34" s="11">
        <v>-0.28824833702882485</v>
      </c>
      <c r="G34" s="11">
        <v>-0.2857142857142857</v>
      </c>
      <c r="H34" s="11">
        <v>-3.6363636363636362E-2</v>
      </c>
      <c r="I34" s="11">
        <v>-0.50256410256410255</v>
      </c>
      <c r="J34" s="11">
        <v>-0.14432989690721648</v>
      </c>
      <c r="K34" s="11">
        <v>0</v>
      </c>
      <c r="L34" s="11">
        <v>0</v>
      </c>
      <c r="M34" s="11">
        <v>-0.66666666666666663</v>
      </c>
      <c r="N34" s="11">
        <v>-0.2857142857142857</v>
      </c>
      <c r="O34" s="11">
        <v>0.4</v>
      </c>
      <c r="P34" s="11">
        <v>0.18181818181818182</v>
      </c>
      <c r="Q34" s="11">
        <v>-0.2857142857142857</v>
      </c>
      <c r="R34" s="11">
        <v>-0.62420382165605093</v>
      </c>
      <c r="S34" s="11">
        <v>6.4516129032258063E-2</v>
      </c>
      <c r="T34" s="11">
        <v>0</v>
      </c>
      <c r="U34" s="11">
        <v>-0.17499999999999999</v>
      </c>
      <c r="V34" s="11">
        <v>0</v>
      </c>
    </row>
    <row r="35" spans="1:27" ht="15.6" thickTop="1" thickBot="1" x14ac:dyDescent="0.35">
      <c r="A35" s="13">
        <v>8008600</v>
      </c>
      <c r="B35" s="6" t="s">
        <v>41</v>
      </c>
      <c r="C35" s="2" t="s">
        <v>361</v>
      </c>
      <c r="D35" s="23">
        <v>45100</v>
      </c>
      <c r="E35" s="25" t="s">
        <v>176</v>
      </c>
      <c r="F35" s="11">
        <v>-0.1797</v>
      </c>
      <c r="G35" s="11">
        <v>-0.1031</v>
      </c>
      <c r="H35" s="11">
        <v>-0.08</v>
      </c>
      <c r="I35" s="11">
        <v>-0.8276</v>
      </c>
      <c r="J35" s="11">
        <v>-0.14080000000000001</v>
      </c>
      <c r="K35" s="11">
        <v>-0.54549999999999998</v>
      </c>
      <c r="L35" s="11">
        <v>0</v>
      </c>
      <c r="M35" s="11">
        <v>-2</v>
      </c>
      <c r="N35" s="11">
        <v>-0.44440000000000002</v>
      </c>
      <c r="O35" s="11">
        <v>0.15790000000000001</v>
      </c>
      <c r="P35" s="11">
        <v>-2</v>
      </c>
      <c r="Q35" s="11">
        <v>-0.66669999999999996</v>
      </c>
      <c r="R35" s="11">
        <v>0</v>
      </c>
      <c r="S35" s="11">
        <v>-1.68</v>
      </c>
      <c r="T35" s="11">
        <v>0</v>
      </c>
      <c r="U35" s="11">
        <v>0</v>
      </c>
      <c r="V35" s="11">
        <v>-0.58819999999999995</v>
      </c>
    </row>
    <row r="36" spans="1:27" ht="15.6" thickTop="1" thickBot="1" x14ac:dyDescent="0.35">
      <c r="A36" s="13">
        <v>8017900</v>
      </c>
      <c r="B36" s="6" t="s">
        <v>52</v>
      </c>
      <c r="C36" s="2" t="s">
        <v>375</v>
      </c>
      <c r="D36" s="23">
        <v>45103</v>
      </c>
      <c r="E36" s="25" t="s">
        <v>176</v>
      </c>
      <c r="F36" s="11">
        <v>-0.28793774319066145</v>
      </c>
      <c r="G36" s="11">
        <v>-0.35294117647058826</v>
      </c>
      <c r="H36" s="11">
        <v>0</v>
      </c>
      <c r="I36" s="11">
        <v>-0.31372549019607843</v>
      </c>
      <c r="J36" s="11">
        <v>-0.32142857142857145</v>
      </c>
      <c r="K36" s="11">
        <v>-0.5</v>
      </c>
      <c r="L36" s="11">
        <v>0.66666666666666663</v>
      </c>
      <c r="M36" s="11">
        <v>-2</v>
      </c>
      <c r="N36" s="11">
        <v>0</v>
      </c>
      <c r="O36" s="11">
        <v>0</v>
      </c>
      <c r="P36" s="11">
        <v>0</v>
      </c>
      <c r="Q36" s="11">
        <v>0.4</v>
      </c>
      <c r="R36" s="11">
        <v>-0.2978723404255319</v>
      </c>
      <c r="S36" s="11">
        <v>-2</v>
      </c>
      <c r="T36" s="11">
        <v>-0.66666666666666663</v>
      </c>
      <c r="U36" s="11">
        <v>-0.26415094339622641</v>
      </c>
      <c r="V36" s="11">
        <v>-2</v>
      </c>
    </row>
    <row r="37" spans="1:27" ht="15.6" thickTop="1" thickBot="1" x14ac:dyDescent="0.35">
      <c r="A37" s="13">
        <v>8010300</v>
      </c>
      <c r="B37" s="6" t="s">
        <v>188</v>
      </c>
      <c r="C37" s="2" t="s">
        <v>269</v>
      </c>
      <c r="D37" s="23">
        <v>45378</v>
      </c>
      <c r="E37" s="25" t="s">
        <v>177</v>
      </c>
      <c r="F37" s="11">
        <v>-0.45208485735186538</v>
      </c>
      <c r="G37" s="11">
        <v>-0.34782608695652173</v>
      </c>
      <c r="H37" s="11" t="s">
        <v>13</v>
      </c>
      <c r="I37" s="11">
        <v>-0.26512968299711814</v>
      </c>
      <c r="J37" s="11">
        <v>-0.69191049913941483</v>
      </c>
      <c r="K37" s="11">
        <v>-0.93333333333333335</v>
      </c>
      <c r="L37" s="11">
        <v>2</v>
      </c>
      <c r="M37" s="11">
        <v>0.13333333333333333</v>
      </c>
      <c r="N37" s="11" t="s">
        <v>13</v>
      </c>
      <c r="O37" s="11" t="s">
        <v>13</v>
      </c>
      <c r="P37" s="11" t="s">
        <v>13</v>
      </c>
      <c r="Q37" s="11" t="s">
        <v>13</v>
      </c>
      <c r="R37" s="11">
        <v>-0.2608695652173913</v>
      </c>
      <c r="S37" s="11">
        <v>-0.32</v>
      </c>
      <c r="T37" s="11">
        <v>0.44444444444444442</v>
      </c>
      <c r="U37" s="11">
        <v>-0.73309608540925264</v>
      </c>
      <c r="V37" s="11">
        <v>2</v>
      </c>
    </row>
    <row r="38" spans="1:27" ht="15.6" thickTop="1" thickBot="1" x14ac:dyDescent="0.35">
      <c r="A38" s="13">
        <v>8024500</v>
      </c>
      <c r="B38" s="6" t="s">
        <v>16</v>
      </c>
      <c r="C38" s="2" t="s">
        <v>390</v>
      </c>
      <c r="D38" s="23">
        <v>45106</v>
      </c>
      <c r="E38" s="24" t="s">
        <v>176</v>
      </c>
      <c r="F38" s="11">
        <v>1.6973532796317605E-2</v>
      </c>
      <c r="G38" s="11">
        <v>0.27722251446607049</v>
      </c>
      <c r="H38" s="11">
        <v>5.9551430781129157E-2</v>
      </c>
      <c r="I38" s="11">
        <v>3.0065789473684212</v>
      </c>
      <c r="J38" s="11">
        <v>4.5253863134657839E-2</v>
      </c>
      <c r="K38" s="11">
        <v>0.84006462035541196</v>
      </c>
      <c r="L38" s="11">
        <v>4.850444624090542E-3</v>
      </c>
      <c r="M38" s="11">
        <v>2.2222222222222223E-2</v>
      </c>
      <c r="N38" s="11">
        <v>0.2029520295202952</v>
      </c>
      <c r="O38" s="11">
        <v>3.5714285714285712E-2</v>
      </c>
      <c r="P38" s="11">
        <v>-7.9365079365079361E-2</v>
      </c>
      <c r="Q38" s="11">
        <v>-1</v>
      </c>
      <c r="R38" s="11">
        <v>16.666666666666668</v>
      </c>
      <c r="S38" s="11">
        <v>-3.6585365853658534E-2</v>
      </c>
      <c r="T38" s="11">
        <v>-0.47619047619047616</v>
      </c>
      <c r="U38" s="11">
        <v>0.36627906976744184</v>
      </c>
      <c r="V38" s="11">
        <v>4.4515103338632747E-2</v>
      </c>
      <c r="X38" t="s">
        <v>523</v>
      </c>
      <c r="Z38" s="31" t="s">
        <v>524</v>
      </c>
      <c r="AA38" s="31"/>
    </row>
    <row r="39" spans="1:27" ht="15.6" thickTop="1" thickBot="1" x14ac:dyDescent="0.35">
      <c r="A39" s="13">
        <v>8037100</v>
      </c>
      <c r="B39" s="6" t="s">
        <v>208</v>
      </c>
      <c r="C39" s="2" t="s">
        <v>290</v>
      </c>
      <c r="D39" s="23">
        <v>45817</v>
      </c>
      <c r="E39" s="32">
        <v>0.66666666666666663</v>
      </c>
      <c r="F39" s="11">
        <v>-0.11559999999999999</v>
      </c>
      <c r="G39" s="11">
        <v>-0.46910000000000002</v>
      </c>
      <c r="H39" s="11">
        <v>-0.55559999999999998</v>
      </c>
      <c r="I39" s="11">
        <v>-5.9700000000000003E-2</v>
      </c>
      <c r="J39" s="11">
        <v>-3.61E-2</v>
      </c>
      <c r="K39" s="11">
        <v>-0.1053</v>
      </c>
      <c r="L39" s="11">
        <v>0</v>
      </c>
      <c r="M39" s="11">
        <v>-2</v>
      </c>
      <c r="N39" s="11">
        <v>-0.33329999999999999</v>
      </c>
      <c r="O39" s="11">
        <v>0</v>
      </c>
      <c r="P39" s="11">
        <v>-0.8</v>
      </c>
      <c r="Q39" s="11">
        <v>0</v>
      </c>
      <c r="R39" s="11">
        <v>-6.4500000000000002E-2</v>
      </c>
      <c r="S39" s="11">
        <v>-6.4500000000000002E-2</v>
      </c>
      <c r="T39" s="11">
        <v>0</v>
      </c>
      <c r="U39" s="11">
        <v>-1.7500000000000002E-2</v>
      </c>
      <c r="V39" s="11">
        <v>-0.1714</v>
      </c>
      <c r="X39" t="s">
        <v>540</v>
      </c>
      <c r="Z39" s="31" t="s">
        <v>524</v>
      </c>
      <c r="AA39" s="31" t="s">
        <v>558</v>
      </c>
    </row>
    <row r="40" spans="1:27" ht="15.6" thickTop="1" thickBot="1" x14ac:dyDescent="0.35">
      <c r="A40" s="13">
        <v>9010810</v>
      </c>
      <c r="B40" s="6" t="s">
        <v>259</v>
      </c>
      <c r="C40" s="2" t="s">
        <v>342</v>
      </c>
      <c r="D40" s="23">
        <v>45818</v>
      </c>
      <c r="E40" s="32">
        <v>0.625</v>
      </c>
      <c r="F40" s="11">
        <v>6.1499999999999999E-2</v>
      </c>
      <c r="G40" s="11">
        <v>0</v>
      </c>
      <c r="H40" s="11">
        <v>0</v>
      </c>
      <c r="I40" s="11">
        <v>0.1053</v>
      </c>
      <c r="J40" s="11">
        <v>3.2399999999999998E-2</v>
      </c>
      <c r="K40" s="11">
        <v>0</v>
      </c>
      <c r="L40" s="11">
        <v>0</v>
      </c>
      <c r="M40" s="11">
        <v>0</v>
      </c>
      <c r="N40" s="11">
        <v>0.37840000000000001</v>
      </c>
      <c r="O40" s="11">
        <v>-2</v>
      </c>
      <c r="P40" s="11">
        <v>-4.4400000000000002E-2</v>
      </c>
      <c r="Q40" s="11">
        <v>-2</v>
      </c>
      <c r="R40" s="11">
        <v>1.6799999999999999E-2</v>
      </c>
      <c r="S40" s="11">
        <v>0.314</v>
      </c>
      <c r="T40" s="11">
        <v>6.25E-2</v>
      </c>
      <c r="U40" s="11">
        <v>1.6500000000000001E-2</v>
      </c>
      <c r="V40" s="11">
        <v>0</v>
      </c>
      <c r="X40" t="s">
        <v>540</v>
      </c>
      <c r="Z40" s="31" t="s">
        <v>556</v>
      </c>
      <c r="AA40" s="31"/>
    </row>
    <row r="41" spans="1:27" ht="15.6" thickTop="1" thickBot="1" x14ac:dyDescent="0.35">
      <c r="A41" s="13">
        <v>8057750</v>
      </c>
      <c r="B41" s="6" t="s">
        <v>149</v>
      </c>
      <c r="C41" s="2" t="s">
        <v>488</v>
      </c>
      <c r="D41" s="23">
        <v>45118</v>
      </c>
      <c r="E41" s="25" t="s">
        <v>176</v>
      </c>
      <c r="F41" s="11">
        <v>-7.9601990049751242E-2</v>
      </c>
      <c r="G41" s="11">
        <v>-5.7142857142857141E-2</v>
      </c>
      <c r="H41" s="11">
        <v>3.0303030303030304E-2</v>
      </c>
      <c r="I41" s="11">
        <v>0</v>
      </c>
      <c r="J41" s="11">
        <v>-0.33707865168539325</v>
      </c>
      <c r="K41" s="11">
        <v>0</v>
      </c>
      <c r="L41" s="11">
        <v>-2.8169014084507043E-2</v>
      </c>
      <c r="M41" s="11">
        <v>-0.18181818181818182</v>
      </c>
      <c r="N41" s="11">
        <v>-0.10526315789473684</v>
      </c>
      <c r="O41" s="11">
        <v>0.1702127659574468</v>
      </c>
      <c r="P41" s="11">
        <v>-0.52631578947368418</v>
      </c>
      <c r="Q41" s="11">
        <v>-0.10526315789473684</v>
      </c>
      <c r="R41" s="11">
        <v>3.7735849056603772E-2</v>
      </c>
      <c r="S41" s="11">
        <v>0</v>
      </c>
      <c r="T41" s="11">
        <v>-0.54545454545454541</v>
      </c>
      <c r="U41" s="11">
        <v>0</v>
      </c>
      <c r="V41" s="11">
        <v>-0.8571428571428571</v>
      </c>
    </row>
    <row r="42" spans="1:27" ht="15.6" thickTop="1" thickBot="1" x14ac:dyDescent="0.35">
      <c r="A42" s="13">
        <v>8051900</v>
      </c>
      <c r="B42" s="6" t="s">
        <v>231</v>
      </c>
      <c r="C42" s="2" t="s">
        <v>313</v>
      </c>
      <c r="D42" s="23">
        <v>45818</v>
      </c>
      <c r="E42" s="32">
        <v>0.32291666666666669</v>
      </c>
      <c r="F42" s="11">
        <v>0.45829999999999999</v>
      </c>
      <c r="G42" s="11">
        <v>0.50680000000000003</v>
      </c>
      <c r="H42" s="11">
        <v>0.67190000000000005</v>
      </c>
      <c r="I42" s="11">
        <v>0</v>
      </c>
      <c r="J42" s="11">
        <v>-0.16220000000000001</v>
      </c>
      <c r="K42" s="11">
        <v>0</v>
      </c>
      <c r="L42" s="11">
        <v>0.5827</v>
      </c>
      <c r="M42" s="11">
        <v>0</v>
      </c>
      <c r="N42" s="11">
        <v>0</v>
      </c>
      <c r="O42" s="11">
        <v>0.67190000000000005</v>
      </c>
      <c r="P42" s="11">
        <v>0</v>
      </c>
      <c r="Q42" s="11">
        <v>0</v>
      </c>
      <c r="R42" s="11">
        <v>0</v>
      </c>
      <c r="S42" s="11">
        <v>0</v>
      </c>
      <c r="T42" s="11">
        <v>-0.125</v>
      </c>
      <c r="U42" s="11">
        <v>-2</v>
      </c>
      <c r="V42" s="11">
        <v>-0.1739</v>
      </c>
      <c r="X42" t="s">
        <v>540</v>
      </c>
      <c r="Z42" s="31" t="s">
        <v>524</v>
      </c>
      <c r="AA42" s="31"/>
    </row>
    <row r="43" spans="1:27" ht="15.6" thickTop="1" thickBot="1" x14ac:dyDescent="0.35">
      <c r="A43" s="13">
        <v>8048700</v>
      </c>
      <c r="B43" s="6" t="s">
        <v>221</v>
      </c>
      <c r="C43" s="2" t="s">
        <v>303</v>
      </c>
      <c r="D43" s="41">
        <v>45769</v>
      </c>
      <c r="E43" s="32">
        <v>0.34375</v>
      </c>
      <c r="F43" s="11">
        <v>-0.2394</v>
      </c>
      <c r="G43" s="11">
        <v>-0.28810000000000002</v>
      </c>
      <c r="H43" s="11">
        <v>-0.19489999999999999</v>
      </c>
      <c r="I43" s="11">
        <v>0</v>
      </c>
      <c r="J43" s="11">
        <v>-0.32729999999999998</v>
      </c>
      <c r="K43" s="11">
        <v>-0.28570000000000001</v>
      </c>
      <c r="L43" s="11">
        <v>-0.23080000000000001</v>
      </c>
      <c r="M43" s="11">
        <v>-2</v>
      </c>
      <c r="N43" s="11">
        <v>0.15379999999999999</v>
      </c>
      <c r="O43" s="11">
        <v>1.3100000000000001E-2</v>
      </c>
      <c r="P43" s="11">
        <v>-1.4482999999999999</v>
      </c>
      <c r="Q43" s="11">
        <v>-0.1176</v>
      </c>
      <c r="R43" s="11">
        <v>0.4</v>
      </c>
      <c r="S43" s="11">
        <v>0</v>
      </c>
      <c r="T43" s="11">
        <v>0.18179999999999999</v>
      </c>
      <c r="U43" s="11">
        <v>-2</v>
      </c>
      <c r="V43" s="11">
        <v>-0.22220000000000001</v>
      </c>
      <c r="X43" t="s">
        <v>554</v>
      </c>
      <c r="Z43" s="31" t="s">
        <v>524</v>
      </c>
      <c r="AA43" s="31"/>
    </row>
    <row r="44" spans="1:27" ht="15.6" thickTop="1" thickBot="1" x14ac:dyDescent="0.35">
      <c r="A44" s="13">
        <v>8040200</v>
      </c>
      <c r="B44" s="6" t="s">
        <v>105</v>
      </c>
      <c r="C44" s="2" t="s">
        <v>438</v>
      </c>
      <c r="D44" s="23">
        <v>45112</v>
      </c>
      <c r="E44" s="25" t="s">
        <v>176</v>
      </c>
      <c r="F44" s="11">
        <v>-0.23696682464454977</v>
      </c>
      <c r="G44" s="11">
        <v>-0.4065040650406504</v>
      </c>
      <c r="H44" s="11">
        <v>-0.14736842105263157</v>
      </c>
      <c r="I44" s="11">
        <v>-1</v>
      </c>
      <c r="J44" s="11">
        <v>0</v>
      </c>
      <c r="K44" s="11">
        <v>0</v>
      </c>
      <c r="L44" s="11">
        <v>-0.38655462184873951</v>
      </c>
      <c r="M44" s="11">
        <v>-1</v>
      </c>
      <c r="N44" s="11">
        <v>0</v>
      </c>
      <c r="O44" s="11">
        <v>-0.14339622641509434</v>
      </c>
      <c r="P44" s="11">
        <v>-1</v>
      </c>
      <c r="Q44" s="11">
        <v>0</v>
      </c>
      <c r="R44" s="11">
        <v>0</v>
      </c>
      <c r="S44" s="11">
        <v>-2</v>
      </c>
      <c r="T44" s="11">
        <v>0</v>
      </c>
      <c r="U44" s="11">
        <v>0</v>
      </c>
      <c r="V44" s="11">
        <v>0</v>
      </c>
    </row>
    <row r="45" spans="1:27" ht="15.6" thickTop="1" thickBot="1" x14ac:dyDescent="0.35">
      <c r="A45" s="13">
        <v>8042200</v>
      </c>
      <c r="B45" s="6" t="s">
        <v>106</v>
      </c>
      <c r="C45" s="2" t="s">
        <v>439</v>
      </c>
      <c r="D45" s="23">
        <v>45118</v>
      </c>
      <c r="E45" s="25" t="s">
        <v>176</v>
      </c>
      <c r="F45" s="11">
        <v>-0.21258134490238612</v>
      </c>
      <c r="G45" s="11">
        <v>-0.11363636363636363</v>
      </c>
      <c r="H45" s="11">
        <v>-0.32432432432432434</v>
      </c>
      <c r="I45" s="11">
        <v>-0.16</v>
      </c>
      <c r="J45" s="11">
        <v>0.15384615384615385</v>
      </c>
      <c r="K45" s="11">
        <v>-0.11764705882352941</v>
      </c>
      <c r="L45" s="11">
        <v>-0.12987012987012986</v>
      </c>
      <c r="M45" s="11">
        <v>0.4</v>
      </c>
      <c r="N45" s="11">
        <v>-0.125</v>
      </c>
      <c r="O45" s="11">
        <v>-0.30769230769230771</v>
      </c>
      <c r="P45" s="11">
        <v>-1.5</v>
      </c>
      <c r="Q45" s="11">
        <v>-0.08</v>
      </c>
      <c r="R45" s="11">
        <v>0.22222222222222221</v>
      </c>
      <c r="S45" s="11">
        <v>-0.5</v>
      </c>
      <c r="T45" s="11">
        <v>0</v>
      </c>
      <c r="U45" s="11">
        <v>0</v>
      </c>
      <c r="V45" s="11">
        <v>0.2857142857142857</v>
      </c>
    </row>
    <row r="46" spans="1:27" ht="15.6" thickTop="1" thickBot="1" x14ac:dyDescent="0.35">
      <c r="A46" s="13">
        <v>8042300</v>
      </c>
      <c r="B46" s="6" t="s">
        <v>214</v>
      </c>
      <c r="C46" s="2" t="s">
        <v>296</v>
      </c>
      <c r="D46" s="23">
        <v>45392</v>
      </c>
      <c r="E46" s="24" t="s">
        <v>177</v>
      </c>
      <c r="F46" s="11">
        <v>-3.9660056657223795E-2</v>
      </c>
      <c r="G46" s="11">
        <v>-0.11406844106463879</v>
      </c>
      <c r="H46" s="11">
        <v>1.1376564277588168E-2</v>
      </c>
      <c r="I46" s="11">
        <v>4.7732696897374704E-3</v>
      </c>
      <c r="J46" s="11">
        <v>-0.19354838709677419</v>
      </c>
      <c r="K46" s="11">
        <v>-1.2</v>
      </c>
      <c r="L46" s="11">
        <v>0.22488755622188905</v>
      </c>
      <c r="M46" s="11">
        <v>-2</v>
      </c>
      <c r="N46" s="11">
        <v>-1.8691588785046728E-2</v>
      </c>
      <c r="O46" s="11">
        <v>3.3282904689863842E-2</v>
      </c>
      <c r="P46" s="11">
        <v>-2</v>
      </c>
      <c r="Q46" s="11">
        <v>-9.3023255813953487E-3</v>
      </c>
      <c r="R46" s="11">
        <v>0.2857142857142857</v>
      </c>
      <c r="S46" s="11">
        <v>1.015228426395939E-2</v>
      </c>
      <c r="T46" s="11">
        <v>-0.2857142857142857</v>
      </c>
      <c r="U46" s="11">
        <v>-2</v>
      </c>
      <c r="V46" s="11">
        <v>0</v>
      </c>
    </row>
    <row r="47" spans="1:27" ht="15.6" thickTop="1" thickBot="1" x14ac:dyDescent="0.35">
      <c r="A47" s="13">
        <v>8030200</v>
      </c>
      <c r="B47" s="6" t="s">
        <v>9</v>
      </c>
      <c r="C47" s="2" t="s">
        <v>413</v>
      </c>
      <c r="D47" s="23">
        <v>45384</v>
      </c>
      <c r="E47" s="24" t="s">
        <v>177</v>
      </c>
      <c r="F47" s="11">
        <v>-8.6357039187227869E-2</v>
      </c>
      <c r="G47" s="11">
        <v>-0.11268817204301075</v>
      </c>
      <c r="H47" s="11">
        <v>8.9325591782045551E-4</v>
      </c>
      <c r="I47" s="11">
        <v>-0.21754385964912282</v>
      </c>
      <c r="J47" s="11">
        <v>-0.24338624338624337</v>
      </c>
      <c r="K47" s="11">
        <v>-0.17094017094017094</v>
      </c>
      <c r="L47" s="11">
        <v>-0.1305158483530143</v>
      </c>
      <c r="M47" s="11">
        <v>-2.4896265560165973E-2</v>
      </c>
      <c r="N47" s="11">
        <v>-2.9850746268656716E-2</v>
      </c>
      <c r="O47" s="11">
        <v>-9.9157164105106587E-4</v>
      </c>
      <c r="P47" s="11">
        <v>3.870967741935484E-2</v>
      </c>
      <c r="Q47" s="11">
        <v>-0.31700288184438041</v>
      </c>
      <c r="R47" s="11">
        <v>6.4516129032258063E-2</v>
      </c>
      <c r="S47" s="11">
        <v>-0.15384615384615385</v>
      </c>
      <c r="T47" s="11">
        <v>-4.6511627906976744E-2</v>
      </c>
      <c r="U47" s="11">
        <v>-0.27586206896551724</v>
      </c>
      <c r="V47" s="11">
        <v>-0.26714801444043323</v>
      </c>
    </row>
    <row r="48" spans="1:27" ht="15.6" thickTop="1" thickBot="1" x14ac:dyDescent="0.35">
      <c r="A48" s="13">
        <v>8032400</v>
      </c>
      <c r="B48" s="6" t="s">
        <v>5</v>
      </c>
      <c r="C48" s="2" t="s">
        <v>417</v>
      </c>
      <c r="D48" s="23">
        <v>45385</v>
      </c>
      <c r="E48" s="24" t="s">
        <v>177</v>
      </c>
      <c r="F48" s="11">
        <v>-9.3438680865681897E-2</v>
      </c>
      <c r="G48" s="11">
        <v>-0.11790878754171301</v>
      </c>
      <c r="H48" s="11">
        <v>-3.6018957345971561E-2</v>
      </c>
      <c r="I48" s="11">
        <v>-9.7963676389653281E-2</v>
      </c>
      <c r="J48" s="11">
        <v>-0.10069444444444445</v>
      </c>
      <c r="K48" s="11">
        <v>0</v>
      </c>
      <c r="L48" s="11">
        <v>-8.4388185654008432E-3</v>
      </c>
      <c r="M48" s="11">
        <v>-0.25590062111801243</v>
      </c>
      <c r="N48" s="11">
        <v>-0.24561403508771928</v>
      </c>
      <c r="O48" s="11">
        <v>-4.9586776859504134E-2</v>
      </c>
      <c r="P48" s="11">
        <v>0.12093023255813953</v>
      </c>
      <c r="Q48" s="11">
        <v>-0.14015151515151514</v>
      </c>
      <c r="R48" s="11">
        <v>-2.9197080291970801E-3</v>
      </c>
      <c r="S48" s="11">
        <v>-0.36842105263157893</v>
      </c>
      <c r="T48" s="11">
        <v>-0.52406417112299464</v>
      </c>
      <c r="U48" s="11">
        <v>-0.17177914110429449</v>
      </c>
      <c r="V48" s="11">
        <v>0.30031948881789139</v>
      </c>
    </row>
    <row r="49" spans="1:27" ht="15.6" thickTop="1" thickBot="1" x14ac:dyDescent="0.35">
      <c r="A49" s="13">
        <v>8052300</v>
      </c>
      <c r="B49" s="6" t="s">
        <v>234</v>
      </c>
      <c r="C49" s="2" t="s">
        <v>316</v>
      </c>
      <c r="D49" s="23">
        <v>45819</v>
      </c>
      <c r="E49" s="32">
        <v>0.51041666666666663</v>
      </c>
      <c r="F49" s="11">
        <v>-1.18E-2</v>
      </c>
      <c r="G49" s="11">
        <v>3.39E-2</v>
      </c>
      <c r="H49" s="11">
        <v>0</v>
      </c>
      <c r="I49" s="11">
        <v>-3.0800000000000001E-2</v>
      </c>
      <c r="J49" s="11">
        <v>-1.5299999999999999E-2</v>
      </c>
      <c r="K49" s="11">
        <v>8.3299999999999999E-2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-0.1154</v>
      </c>
      <c r="R49" s="11">
        <v>2.5600000000000001E-2</v>
      </c>
      <c r="S49" s="11">
        <v>0</v>
      </c>
      <c r="T49" s="11">
        <v>0</v>
      </c>
      <c r="U49" s="11">
        <v>0</v>
      </c>
      <c r="V49" s="11">
        <v>-8.6999999999999994E-2</v>
      </c>
      <c r="X49" t="s">
        <v>540</v>
      </c>
      <c r="Z49" s="31" t="s">
        <v>556</v>
      </c>
      <c r="AA49" s="31"/>
    </row>
    <row r="50" spans="1:27" ht="15.6" thickTop="1" thickBot="1" x14ac:dyDescent="0.35">
      <c r="A50" s="13">
        <v>8047000</v>
      </c>
      <c r="B50" s="6" t="s">
        <v>217</v>
      </c>
      <c r="C50" s="2" t="s">
        <v>299</v>
      </c>
      <c r="D50" s="23">
        <v>45819</v>
      </c>
      <c r="E50" s="43">
        <v>0.34375</v>
      </c>
      <c r="F50" s="11">
        <v>-2.7799999999999998E-2</v>
      </c>
      <c r="G50" s="11">
        <v>0</v>
      </c>
      <c r="H50" s="11">
        <v>-8.8900000000000007E-2</v>
      </c>
      <c r="I50" s="11">
        <v>-3.4329999999999999E-2</v>
      </c>
      <c r="J50" s="11">
        <v>1.2E-2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-0.13789999999999999</v>
      </c>
      <c r="Q50" s="11">
        <v>0</v>
      </c>
      <c r="R50" s="11">
        <v>-2.8199999999999999E-2</v>
      </c>
      <c r="S50" s="11">
        <v>-6.0600000000000001E-2</v>
      </c>
      <c r="T50" s="11">
        <v>-8.6999999999999994E-2</v>
      </c>
      <c r="U50" s="11">
        <v>2.7799999999999998E-2</v>
      </c>
      <c r="V50" s="11">
        <v>0</v>
      </c>
      <c r="X50" t="s">
        <v>540</v>
      </c>
      <c r="Z50" s="31" t="s">
        <v>556</v>
      </c>
      <c r="AA50" s="31"/>
    </row>
    <row r="51" spans="1:27" ht="15.6" thickTop="1" thickBot="1" x14ac:dyDescent="0.35">
      <c r="A51" s="13">
        <v>8012600</v>
      </c>
      <c r="B51" s="6" t="s">
        <v>189</v>
      </c>
      <c r="C51" s="2" t="s">
        <v>270</v>
      </c>
      <c r="D51" s="23">
        <v>45391</v>
      </c>
      <c r="E51" s="25" t="s">
        <v>177</v>
      </c>
      <c r="F51" s="11">
        <v>-2.2739577693557118E-2</v>
      </c>
      <c r="G51" s="11">
        <v>-4.1237113402061855E-2</v>
      </c>
      <c r="H51" s="11">
        <v>1.8691588785046728E-2</v>
      </c>
      <c r="I51" s="11">
        <v>-7.6238881829733167E-3</v>
      </c>
      <c r="J51" s="11">
        <v>-3.9525691699604744E-2</v>
      </c>
      <c r="K51" s="11">
        <v>-0.11494252873563218</v>
      </c>
      <c r="L51" s="11">
        <v>0.18181818181818182</v>
      </c>
      <c r="M51" s="11">
        <v>0</v>
      </c>
      <c r="N51" s="11">
        <v>0.15384615384615385</v>
      </c>
      <c r="O51" s="11">
        <v>0</v>
      </c>
      <c r="P51" s="11">
        <v>-2.9850746268656716E-2</v>
      </c>
      <c r="Q51" s="11">
        <v>-5.2631578947368418E-2</v>
      </c>
      <c r="R51" s="11">
        <v>-5.8139534883720929E-3</v>
      </c>
      <c r="S51" s="11">
        <v>8.6956521739130432E-2</v>
      </c>
      <c r="T51" s="11">
        <v>-3.2786885245901641E-2</v>
      </c>
      <c r="U51" s="11">
        <v>-4.8309178743961352E-2</v>
      </c>
      <c r="V51" s="11">
        <v>2.5974025974025976E-2</v>
      </c>
    </row>
    <row r="52" spans="1:27" ht="15.6" thickTop="1" thickBot="1" x14ac:dyDescent="0.35">
      <c r="A52" s="13">
        <v>8057925</v>
      </c>
      <c r="B52" s="6" t="s">
        <v>151</v>
      </c>
      <c r="C52" s="2" t="s">
        <v>490</v>
      </c>
      <c r="D52" s="23">
        <v>45121</v>
      </c>
      <c r="E52" s="25" t="s">
        <v>176</v>
      </c>
      <c r="F52" s="11">
        <v>-0.12590000000000001</v>
      </c>
      <c r="G52" s="11" t="s">
        <v>13</v>
      </c>
      <c r="H52" s="11">
        <v>-0.52054794520547942</v>
      </c>
      <c r="I52" s="11">
        <v>0</v>
      </c>
      <c r="J52" s="11">
        <v>-5.9405940594059403E-2</v>
      </c>
      <c r="K52" s="11" t="s">
        <v>13</v>
      </c>
      <c r="L52" s="11" t="s">
        <v>13</v>
      </c>
      <c r="M52" s="11" t="s">
        <v>13</v>
      </c>
      <c r="N52" s="11">
        <v>-0.37037037037037035</v>
      </c>
      <c r="O52" s="11">
        <v>2</v>
      </c>
      <c r="P52" s="11">
        <v>-0.66666666666666663</v>
      </c>
      <c r="Q52" s="11" t="s">
        <v>13</v>
      </c>
      <c r="R52" s="11">
        <v>0</v>
      </c>
      <c r="S52" s="11">
        <v>0</v>
      </c>
      <c r="T52" s="11">
        <v>-0.22222222222222221</v>
      </c>
      <c r="U52" s="11">
        <v>-2.4096385542168676E-2</v>
      </c>
      <c r="V52" s="11" t="s">
        <v>13</v>
      </c>
    </row>
    <row r="53" spans="1:27" ht="15.6" thickTop="1" thickBot="1" x14ac:dyDescent="0.35">
      <c r="A53" s="13">
        <v>9010710</v>
      </c>
      <c r="B53" s="6" t="s">
        <v>154</v>
      </c>
      <c r="C53" s="2" t="s">
        <v>494</v>
      </c>
      <c r="D53" s="23">
        <v>45118</v>
      </c>
      <c r="E53" s="25" t="s">
        <v>176</v>
      </c>
      <c r="F53" s="11">
        <v>-0.16666666666666666</v>
      </c>
      <c r="G53" s="11">
        <v>-0.17449664429530201</v>
      </c>
      <c r="H53" s="11">
        <v>-0.11764705882352941</v>
      </c>
      <c r="I53" s="11">
        <v>-2</v>
      </c>
      <c r="J53" s="11">
        <v>0</v>
      </c>
      <c r="K53" s="11">
        <v>0</v>
      </c>
      <c r="L53" s="11">
        <v>-0.17687074829931973</v>
      </c>
      <c r="M53" s="11">
        <v>0</v>
      </c>
      <c r="N53" s="11">
        <v>-2</v>
      </c>
      <c r="O53" s="11">
        <v>0</v>
      </c>
      <c r="P53" s="11">
        <v>-0.66666666666666663</v>
      </c>
      <c r="Q53" s="11">
        <v>0</v>
      </c>
      <c r="R53" s="11">
        <v>0</v>
      </c>
      <c r="S53" s="11">
        <v>-2</v>
      </c>
      <c r="T53" s="11">
        <v>0</v>
      </c>
      <c r="U53" s="11">
        <v>0</v>
      </c>
      <c r="V53" s="11">
        <v>0</v>
      </c>
    </row>
    <row r="54" spans="1:27" ht="15.6" thickTop="1" thickBot="1" x14ac:dyDescent="0.35">
      <c r="A54" s="13">
        <v>9010695</v>
      </c>
      <c r="B54" s="6" t="s">
        <v>257</v>
      </c>
      <c r="C54" s="2" t="s">
        <v>340</v>
      </c>
      <c r="D54" s="23">
        <v>45819</v>
      </c>
      <c r="E54" s="32">
        <v>0.63541666666666663</v>
      </c>
      <c r="F54" s="11">
        <v>-0.19520000000000001</v>
      </c>
      <c r="G54" s="11">
        <v>-0.36959999999999998</v>
      </c>
      <c r="H54" s="11">
        <v>-4.0300000000000002E-2</v>
      </c>
      <c r="I54" s="11">
        <v>-9.7500000000000003E-2</v>
      </c>
      <c r="J54" s="11">
        <v>-0.31159999999999999</v>
      </c>
      <c r="K54" s="11">
        <v>-0.57430000000000003</v>
      </c>
      <c r="L54" s="11">
        <v>-0.37840000000000001</v>
      </c>
      <c r="M54" s="11">
        <v>8.6999999999999994E-2</v>
      </c>
      <c r="N54" s="11">
        <v>-0.2326</v>
      </c>
      <c r="O54" s="11">
        <v>7.4099999999999999E-2</v>
      </c>
      <c r="P54" s="11">
        <v>0</v>
      </c>
      <c r="Q54" s="11">
        <v>0.38300000000000001</v>
      </c>
      <c r="R54" s="11">
        <v>-0.19550000000000001</v>
      </c>
      <c r="S54" s="11">
        <v>-0.4</v>
      </c>
      <c r="T54" s="11">
        <v>7.6899999999999996E-2</v>
      </c>
      <c r="U54" s="11">
        <v>-0.36070000000000002</v>
      </c>
      <c r="V54" s="11">
        <v>-0.45610000000000001</v>
      </c>
      <c r="X54" t="s">
        <v>523</v>
      </c>
      <c r="Z54" s="31" t="s">
        <v>524</v>
      </c>
      <c r="AA54" s="31"/>
    </row>
    <row r="55" spans="1:27" ht="15.6" thickTop="1" thickBot="1" x14ac:dyDescent="0.35">
      <c r="A55" s="13">
        <v>9010690</v>
      </c>
      <c r="B55" s="6" t="s">
        <v>256</v>
      </c>
      <c r="C55" s="2" t="s">
        <v>339</v>
      </c>
      <c r="D55" s="23">
        <v>45820</v>
      </c>
      <c r="E55" s="32">
        <v>0.35416666666666669</v>
      </c>
      <c r="F55" s="11">
        <v>0.25069999999999998</v>
      </c>
      <c r="G55" s="11">
        <v>0.02</v>
      </c>
      <c r="H55" s="11">
        <v>1.47E-2</v>
      </c>
      <c r="I55" s="11">
        <v>0</v>
      </c>
      <c r="J55" s="11">
        <v>-0.12239999999999999</v>
      </c>
      <c r="K55" s="11">
        <v>4.65E-2</v>
      </c>
      <c r="L55" s="11">
        <v>-1.09E-2</v>
      </c>
      <c r="M55" s="11">
        <v>2</v>
      </c>
      <c r="N55" s="11">
        <v>-2</v>
      </c>
      <c r="O55" s="11">
        <v>2.8299999999999999E-2</v>
      </c>
      <c r="P55" s="11">
        <v>-3.6400000000000002E-2</v>
      </c>
      <c r="Q55" s="11">
        <v>0</v>
      </c>
      <c r="R55" s="11">
        <v>0</v>
      </c>
      <c r="S55" s="11">
        <v>0</v>
      </c>
      <c r="T55" s="11">
        <v>0</v>
      </c>
      <c r="U55" s="11">
        <v>-2</v>
      </c>
      <c r="V55" s="11">
        <v>-0.13730000000000001</v>
      </c>
      <c r="X55" t="s">
        <v>540</v>
      </c>
      <c r="Z55" s="31" t="s">
        <v>524</v>
      </c>
      <c r="AA55" s="31"/>
    </row>
    <row r="56" spans="1:27" ht="15.6" thickTop="1" thickBot="1" x14ac:dyDescent="0.35">
      <c r="A56" s="13">
        <v>9010685</v>
      </c>
      <c r="B56" s="6" t="s">
        <v>255</v>
      </c>
      <c r="C56" s="2" t="s">
        <v>338</v>
      </c>
      <c r="D56" s="47" t="s">
        <v>13</v>
      </c>
      <c r="E56" s="48" t="s">
        <v>13</v>
      </c>
      <c r="X56" s="46" t="s">
        <v>559</v>
      </c>
      <c r="Y56" s="46"/>
    </row>
    <row r="57" spans="1:27" ht="15.6" thickTop="1" thickBot="1" x14ac:dyDescent="0.35">
      <c r="A57" s="13">
        <v>8035000</v>
      </c>
      <c r="B57" s="6" t="s">
        <v>94</v>
      </c>
      <c r="C57" s="2" t="s">
        <v>425</v>
      </c>
      <c r="D57" s="23">
        <v>45119</v>
      </c>
      <c r="E57" s="25" t="s">
        <v>176</v>
      </c>
      <c r="F57" s="11">
        <v>6.8292682926829273E-2</v>
      </c>
      <c r="G57" s="11">
        <v>-3.3149171270718231E-2</v>
      </c>
      <c r="H57" s="11">
        <v>0.25592417061611372</v>
      </c>
      <c r="I57" s="11">
        <v>-0.25882352941176473</v>
      </c>
      <c r="J57" s="11">
        <v>0.11594202898550725</v>
      </c>
      <c r="K57" s="11">
        <v>0</v>
      </c>
      <c r="L57" s="11">
        <v>0.18666666666666668</v>
      </c>
      <c r="M57" s="11">
        <v>-1.6190476190476191</v>
      </c>
      <c r="N57" s="11">
        <v>9.5238095238095233E-2</v>
      </c>
      <c r="O57" s="11">
        <v>0.41666666666666669</v>
      </c>
      <c r="P57" s="11">
        <v>0.1276595744680851</v>
      </c>
      <c r="Q57" s="11">
        <v>8.6956521739130432E-2</v>
      </c>
      <c r="R57" s="11">
        <v>-3.9215686274509803E-2</v>
      </c>
      <c r="S57" s="11">
        <v>-2</v>
      </c>
      <c r="T57" s="11">
        <v>5.4054054054054057E-2</v>
      </c>
      <c r="U57" s="11">
        <v>0.20689655172413793</v>
      </c>
      <c r="V57" s="11">
        <v>0</v>
      </c>
    </row>
    <row r="58" spans="1:27" ht="15.6" thickTop="1" thickBot="1" x14ac:dyDescent="0.35">
      <c r="A58" s="13">
        <v>8026400</v>
      </c>
      <c r="B58" s="6" t="s">
        <v>74</v>
      </c>
      <c r="C58" s="2" t="s">
        <v>399</v>
      </c>
      <c r="D58" s="23">
        <v>45117</v>
      </c>
      <c r="E58" s="25" t="s">
        <v>176</v>
      </c>
      <c r="F58" s="11">
        <v>-9.375E-2</v>
      </c>
      <c r="G58" s="11">
        <v>0</v>
      </c>
      <c r="H58" s="11">
        <v>-0.1276595744680851</v>
      </c>
      <c r="I58" s="11">
        <v>-4.8661800486618006E-3</v>
      </c>
      <c r="J58" s="11">
        <v>-0.22485207100591717</v>
      </c>
      <c r="K58" s="11">
        <v>0</v>
      </c>
      <c r="L58" s="11">
        <v>0.10526315789473684</v>
      </c>
      <c r="M58" s="11">
        <v>-2.247191011235955E-2</v>
      </c>
      <c r="N58" s="11">
        <v>-0.22950819672131148</v>
      </c>
      <c r="O58" s="11">
        <v>-5.4054054054054057E-2</v>
      </c>
      <c r="P58" s="11">
        <v>-4.6511627906976744E-2</v>
      </c>
      <c r="Q58" s="11">
        <v>0</v>
      </c>
      <c r="R58" s="11">
        <v>0.14925373134328357</v>
      </c>
      <c r="S58" s="11">
        <v>-2</v>
      </c>
      <c r="T58" s="11">
        <v>-1</v>
      </c>
      <c r="U58" s="11">
        <v>-0.11221122112211221</v>
      </c>
      <c r="V58" s="11">
        <v>-1.6363636363636365</v>
      </c>
    </row>
    <row r="59" spans="1:27" ht="15.6" thickTop="1" thickBot="1" x14ac:dyDescent="0.35">
      <c r="A59" s="13">
        <v>8045500</v>
      </c>
      <c r="B59" s="6" t="s">
        <v>112</v>
      </c>
      <c r="C59" s="2" t="s">
        <v>447</v>
      </c>
      <c r="D59" s="23">
        <v>45124</v>
      </c>
      <c r="E59" s="25" t="s">
        <v>174</v>
      </c>
      <c r="F59" s="11">
        <v>-6.0258249641319941E-2</v>
      </c>
      <c r="G59" s="11">
        <v>-0.13333333333333333</v>
      </c>
      <c r="H59" s="11">
        <v>-0.1</v>
      </c>
      <c r="I59" s="11">
        <v>-6.8965517241379309E-2</v>
      </c>
      <c r="J59" s="11">
        <v>0.02</v>
      </c>
      <c r="K59" s="11">
        <v>-0.13333333333333333</v>
      </c>
      <c r="L59" s="11">
        <v>-6.25E-2</v>
      </c>
      <c r="M59" s="11">
        <v>-0.30769230769230771</v>
      </c>
      <c r="N59" s="11">
        <v>-0.17543859649122806</v>
      </c>
      <c r="O59" s="11">
        <v>5.5555555555555552E-2</v>
      </c>
      <c r="P59" s="11">
        <v>-0.32258064516129031</v>
      </c>
      <c r="Q59" s="11">
        <v>-0.4</v>
      </c>
      <c r="R59" s="11">
        <v>9.9290780141843976E-2</v>
      </c>
      <c r="S59" s="11">
        <v>-0.30303030303030304</v>
      </c>
      <c r="T59" s="11">
        <v>-0.16666666666666666</v>
      </c>
      <c r="U59" s="11">
        <v>8.6956521739130432E-2</v>
      </c>
      <c r="V59" s="11">
        <v>0</v>
      </c>
      <c r="X59" t="s">
        <v>523</v>
      </c>
      <c r="Z59" s="31" t="s">
        <v>524</v>
      </c>
      <c r="AA59" s="31"/>
    </row>
    <row r="60" spans="1:27" ht="15.6" thickTop="1" thickBot="1" x14ac:dyDescent="0.35">
      <c r="A60" s="13">
        <v>8052900</v>
      </c>
      <c r="B60" s="6" t="s">
        <v>236</v>
      </c>
      <c r="C60" s="2" t="s">
        <v>318</v>
      </c>
      <c r="D60" s="23">
        <v>45089</v>
      </c>
      <c r="E60" s="32">
        <v>0.53125</v>
      </c>
      <c r="F60" s="11">
        <v>2.3800000000000002E-2</v>
      </c>
      <c r="G60" s="11">
        <v>2</v>
      </c>
      <c r="H60" s="11">
        <v>-8.8999999999999999E-3</v>
      </c>
      <c r="I60" s="11">
        <v>5.5E-2</v>
      </c>
      <c r="J60" s="11">
        <v>0</v>
      </c>
      <c r="K60" s="11">
        <v>2</v>
      </c>
      <c r="L60" s="11">
        <v>0</v>
      </c>
      <c r="M60" s="11">
        <v>2</v>
      </c>
      <c r="N60" s="11">
        <v>0</v>
      </c>
      <c r="O60" s="11">
        <v>0</v>
      </c>
      <c r="P60" s="11">
        <v>0</v>
      </c>
      <c r="Q60" s="11">
        <v>-8.8999999999999999E-3</v>
      </c>
      <c r="R60" s="11">
        <v>3.7699999999999997E-2</v>
      </c>
      <c r="S60" s="11">
        <v>0</v>
      </c>
      <c r="T60" s="11">
        <v>0.66669999999999996</v>
      </c>
      <c r="U60" s="11">
        <v>0</v>
      </c>
      <c r="V60" s="11">
        <v>0</v>
      </c>
      <c r="W60" s="11"/>
      <c r="X60" t="s">
        <v>540</v>
      </c>
      <c r="Z60" s="31" t="s">
        <v>524</v>
      </c>
      <c r="AA60" s="31"/>
    </row>
    <row r="61" spans="1:27" ht="15.6" thickTop="1" thickBot="1" x14ac:dyDescent="0.35">
      <c r="A61" s="13">
        <v>8054000</v>
      </c>
      <c r="B61" s="6" t="s">
        <v>124</v>
      </c>
      <c r="C61" s="2" t="s">
        <v>461</v>
      </c>
      <c r="D61" s="23">
        <v>45113</v>
      </c>
      <c r="E61" s="25" t="s">
        <v>176</v>
      </c>
      <c r="F61" s="11">
        <v>5.8181818181818182E-2</v>
      </c>
      <c r="G61" s="11">
        <v>4.3478260869565216E-2</v>
      </c>
      <c r="H61" s="11">
        <v>4.1841004184100417E-2</v>
      </c>
      <c r="I61" s="11">
        <v>0.4</v>
      </c>
      <c r="J61" s="11">
        <v>0.13333333333333333</v>
      </c>
      <c r="K61" s="11">
        <v>0</v>
      </c>
      <c r="L61" s="11">
        <v>4.4117647058823532E-2</v>
      </c>
      <c r="M61" s="11">
        <v>0</v>
      </c>
      <c r="N61" s="11">
        <v>0.43478260869565216</v>
      </c>
      <c r="O61" s="11">
        <v>9.5693779904306216E-3</v>
      </c>
      <c r="P61" s="11">
        <v>-0.2857142857142857</v>
      </c>
      <c r="Q61" s="11">
        <v>0.66666666666666663</v>
      </c>
      <c r="R61" s="11">
        <v>0.4</v>
      </c>
      <c r="S61" s="11">
        <v>0.33333333333333331</v>
      </c>
      <c r="T61" s="11">
        <v>0.13333333333333333</v>
      </c>
      <c r="U61" s="11">
        <v>0</v>
      </c>
      <c r="V61" s="11">
        <v>0</v>
      </c>
    </row>
    <row r="62" spans="1:27" ht="15.6" thickTop="1" thickBot="1" x14ac:dyDescent="0.35">
      <c r="A62" s="13">
        <v>8053900</v>
      </c>
      <c r="B62" s="6" t="s">
        <v>123</v>
      </c>
      <c r="C62" s="2" t="s">
        <v>460</v>
      </c>
      <c r="D62" s="23">
        <v>45356</v>
      </c>
      <c r="E62" s="25" t="s">
        <v>177</v>
      </c>
      <c r="F62" s="11">
        <v>-0.11029153494906919</v>
      </c>
      <c r="G62" s="11">
        <v>-9.7370983446932822E-3</v>
      </c>
      <c r="H62" s="11">
        <v>-2.7353177795655673E-2</v>
      </c>
      <c r="I62" s="11">
        <v>-0.5234375</v>
      </c>
      <c r="J62" s="11">
        <v>-3.0769230769230771E-2</v>
      </c>
      <c r="K62" s="11">
        <v>0.33333333333333331</v>
      </c>
      <c r="L62" s="11">
        <v>2.6284348864994027E-2</v>
      </c>
      <c r="M62" s="11">
        <v>-0.20224719101123595</v>
      </c>
      <c r="N62" s="11">
        <v>-8.9285714285714281E-3</v>
      </c>
      <c r="O62" s="11">
        <v>-3.8119440914866583E-2</v>
      </c>
      <c r="P62" s="11">
        <v>0</v>
      </c>
      <c r="Q62" s="11">
        <v>7.2538860103626937E-2</v>
      </c>
      <c r="R62" s="11">
        <v>1</v>
      </c>
      <c r="S62" s="11">
        <v>-0.90793650793650793</v>
      </c>
      <c r="T62" s="11">
        <v>-3.2786885245901641E-2</v>
      </c>
      <c r="U62" s="11">
        <v>0</v>
      </c>
      <c r="V62" s="11">
        <v>0</v>
      </c>
    </row>
    <row r="63" spans="1:27" ht="15.6" thickTop="1" thickBot="1" x14ac:dyDescent="0.35">
      <c r="A63" s="13">
        <v>8055850</v>
      </c>
      <c r="B63" s="6" t="s">
        <v>17</v>
      </c>
      <c r="C63" s="2" t="s">
        <v>471</v>
      </c>
      <c r="D63" s="23">
        <v>45820</v>
      </c>
      <c r="E63" s="32">
        <v>0.625</v>
      </c>
      <c r="F63" s="11">
        <v>-3.44E-2</v>
      </c>
      <c r="G63" s="11">
        <v>-7.4800000000000005E-2</v>
      </c>
      <c r="H63" s="11">
        <v>6.1000000000000004E-3</v>
      </c>
      <c r="I63" s="11">
        <v>-0.12839999999999999</v>
      </c>
      <c r="J63" s="11">
        <v>0</v>
      </c>
      <c r="K63" s="11">
        <v>2</v>
      </c>
      <c r="L63" s="11">
        <v>-8.2500000000000004E-2</v>
      </c>
      <c r="M63" s="11">
        <v>-5.1299999999999998E-2</v>
      </c>
      <c r="N63" s="11">
        <v>2.9899999999999999E-2</v>
      </c>
      <c r="O63" s="11">
        <v>0</v>
      </c>
      <c r="P63" s="11">
        <v>0.28570000000000001</v>
      </c>
      <c r="Q63" s="11">
        <v>-0.16</v>
      </c>
      <c r="R63" s="11">
        <v>0</v>
      </c>
      <c r="S63" s="11">
        <v>-0.1017</v>
      </c>
      <c r="T63" s="11">
        <v>0</v>
      </c>
      <c r="U63" s="11">
        <v>0</v>
      </c>
      <c r="V63" s="11">
        <v>0</v>
      </c>
      <c r="X63" t="s">
        <v>540</v>
      </c>
      <c r="Z63" s="31" t="s">
        <v>556</v>
      </c>
      <c r="AA63" s="31"/>
    </row>
    <row r="64" spans="1:27" ht="15.6" thickTop="1" thickBot="1" x14ac:dyDescent="0.35">
      <c r="A64" s="13">
        <v>8056450</v>
      </c>
      <c r="B64" s="6" t="s">
        <v>7</v>
      </c>
      <c r="C64" s="2" t="s">
        <v>477</v>
      </c>
      <c r="D64" s="23">
        <v>45821</v>
      </c>
      <c r="E64" s="32">
        <v>0.32291666666666669</v>
      </c>
      <c r="F64" s="11">
        <v>-0.1032</v>
      </c>
      <c r="G64" s="11">
        <v>-1.5299999999999999E-2</v>
      </c>
      <c r="H64" s="11">
        <v>-8.6999999999999994E-2</v>
      </c>
      <c r="I64" s="11">
        <v>-0.1217</v>
      </c>
      <c r="J64" s="11">
        <v>-0.3478</v>
      </c>
      <c r="K64" s="11">
        <v>-0.28570000000000001</v>
      </c>
      <c r="L64" s="11">
        <v>0</v>
      </c>
      <c r="M64" s="11">
        <v>0</v>
      </c>
      <c r="N64" s="11">
        <v>-0.1053</v>
      </c>
      <c r="O64" s="11">
        <v>-0.08</v>
      </c>
      <c r="P64" s="11">
        <v>-9.5200000000000007E-2</v>
      </c>
      <c r="Q64" s="11">
        <v>-0.27779999999999999</v>
      </c>
      <c r="R64" s="11">
        <v>0.66669999999999996</v>
      </c>
      <c r="S64" s="11">
        <v>-6.4600000000000005E-2</v>
      </c>
      <c r="T64" s="11">
        <v>9.5200000000000007E-2</v>
      </c>
      <c r="U64" s="11">
        <v>-0.8</v>
      </c>
      <c r="V64" s="11">
        <v>-0.66669999999999996</v>
      </c>
      <c r="X64" t="s">
        <v>540</v>
      </c>
      <c r="Z64" s="31" t="s">
        <v>556</v>
      </c>
      <c r="AA64" s="31"/>
    </row>
    <row r="65" spans="1:27" ht="15.6" thickTop="1" thickBot="1" x14ac:dyDescent="0.35">
      <c r="A65" s="13">
        <v>8025300</v>
      </c>
      <c r="B65" s="6" t="s">
        <v>195</v>
      </c>
      <c r="C65" s="2" t="s">
        <v>277</v>
      </c>
      <c r="D65" s="23">
        <v>45749</v>
      </c>
      <c r="E65" s="32">
        <v>0.32291666666666669</v>
      </c>
      <c r="F65" s="11">
        <v>6.13E-2</v>
      </c>
      <c r="G65" s="11">
        <v>0</v>
      </c>
      <c r="H65" s="11">
        <v>7.4099999999999999E-2</v>
      </c>
      <c r="I65" s="11">
        <v>9.7900000000000001E-2</v>
      </c>
      <c r="J65" s="11">
        <v>2.6700000000000002E-2</v>
      </c>
      <c r="K65" s="11">
        <v>0</v>
      </c>
      <c r="L65" s="11">
        <v>0</v>
      </c>
      <c r="M65" s="11">
        <v>0</v>
      </c>
      <c r="N65" s="11">
        <v>0.2</v>
      </c>
      <c r="O65" s="11">
        <v>8.6999999999999994E-2</v>
      </c>
      <c r="P65" s="11">
        <v>-0.18179999999999999</v>
      </c>
      <c r="Q65" s="11">
        <v>0.66669999999999996</v>
      </c>
      <c r="R65" s="11">
        <v>0.1053</v>
      </c>
      <c r="S65" s="11">
        <v>-0.28570000000000001</v>
      </c>
      <c r="T65" s="11">
        <v>0</v>
      </c>
      <c r="U65" s="11">
        <v>7.5200000000000003E-2</v>
      </c>
      <c r="V65" s="11">
        <v>-0.4</v>
      </c>
      <c r="X65" t="s">
        <v>540</v>
      </c>
      <c r="Z65" s="31" t="s">
        <v>556</v>
      </c>
      <c r="AA65" s="31"/>
    </row>
    <row r="66" spans="1:27" ht="15.6" thickTop="1" thickBot="1" x14ac:dyDescent="0.35">
      <c r="A66" s="13">
        <v>8045400</v>
      </c>
      <c r="B66" s="6" t="s">
        <v>216</v>
      </c>
      <c r="C66" s="2" t="s">
        <v>298</v>
      </c>
      <c r="D66" s="23">
        <v>45821</v>
      </c>
      <c r="E66" s="32">
        <v>0.625</v>
      </c>
      <c r="F66" s="11">
        <v>0.13900000000000001</v>
      </c>
      <c r="G66" s="11">
        <v>3.39E-2</v>
      </c>
      <c r="H66" s="11">
        <v>2.9899999999999999E-2</v>
      </c>
      <c r="I66" s="11">
        <v>0.25080000000000002</v>
      </c>
      <c r="J66" s="11">
        <v>5.8099999999999999E-2</v>
      </c>
      <c r="K66" s="11">
        <v>-0.3</v>
      </c>
      <c r="L66" s="11">
        <v>1.27</v>
      </c>
      <c r="M66" s="11">
        <v>0</v>
      </c>
      <c r="N66" s="11">
        <v>-0.1333</v>
      </c>
      <c r="O66" s="11">
        <v>0.35289999999999999</v>
      </c>
      <c r="P66" s="11">
        <v>-5.7099999999999998E-2</v>
      </c>
      <c r="Q66" s="11">
        <v>0</v>
      </c>
      <c r="R66" s="11">
        <v>0.29289999999999999</v>
      </c>
      <c r="S66" s="11">
        <v>0.1111</v>
      </c>
      <c r="T66" s="11">
        <v>0</v>
      </c>
      <c r="U66" s="11">
        <v>0.1143</v>
      </c>
      <c r="V66" s="11">
        <v>-3.2800000000000003E-2</v>
      </c>
      <c r="X66" t="s">
        <v>540</v>
      </c>
      <c r="Z66" s="31" t="s">
        <v>556</v>
      </c>
      <c r="AA66" s="31"/>
    </row>
    <row r="67" spans="1:27" ht="15.6" thickTop="1" thickBot="1" x14ac:dyDescent="0.35">
      <c r="A67" s="13">
        <v>8014800</v>
      </c>
      <c r="B67" s="6" t="s">
        <v>190</v>
      </c>
      <c r="C67" s="2" t="s">
        <v>271</v>
      </c>
      <c r="D67" s="23">
        <v>45747</v>
      </c>
      <c r="E67" s="24" t="s">
        <v>176</v>
      </c>
      <c r="F67" s="11">
        <v>0.48930000000000001</v>
      </c>
      <c r="G67" s="11">
        <v>0.15379999999999999</v>
      </c>
      <c r="H67" s="11">
        <v>-2</v>
      </c>
      <c r="I67" s="11">
        <v>-2</v>
      </c>
      <c r="J67" s="11">
        <v>-2</v>
      </c>
      <c r="K67" s="11">
        <v>-0.4</v>
      </c>
      <c r="L67" s="11">
        <v>0.28570000000000001</v>
      </c>
      <c r="M67" s="11">
        <v>0</v>
      </c>
      <c r="N67" s="11">
        <v>-2</v>
      </c>
      <c r="O67" s="11">
        <v>-2</v>
      </c>
      <c r="P67" s="11">
        <v>-2</v>
      </c>
      <c r="Q67" s="11">
        <v>-2</v>
      </c>
      <c r="R67" s="11">
        <v>-2</v>
      </c>
      <c r="S67" s="11">
        <v>0</v>
      </c>
      <c r="T67" s="11">
        <v>-2</v>
      </c>
      <c r="U67" s="11">
        <v>-2</v>
      </c>
      <c r="V67" s="11">
        <v>-2</v>
      </c>
    </row>
    <row r="68" spans="1:27" ht="15.6" thickTop="1" thickBot="1" x14ac:dyDescent="0.35">
      <c r="A68" s="13">
        <v>8033500</v>
      </c>
      <c r="B68" s="6" t="s">
        <v>203</v>
      </c>
      <c r="C68" s="2" t="s">
        <v>285</v>
      </c>
      <c r="D68" s="23">
        <v>45764</v>
      </c>
      <c r="E68" s="32">
        <v>0.34375</v>
      </c>
      <c r="F68" s="11">
        <v>-4.4299999999999999E-2</v>
      </c>
      <c r="G68" s="11">
        <v>-5.8299999999999998E-2</v>
      </c>
      <c r="H68" s="11">
        <v>-0.1124</v>
      </c>
      <c r="I68" s="11">
        <v>2.5999999999999999E-2</v>
      </c>
      <c r="J68" s="11">
        <v>-3.5099999999999999E-2</v>
      </c>
      <c r="K68" s="11">
        <v>0</v>
      </c>
      <c r="L68" s="11">
        <v>-5.8299999999999998E-2</v>
      </c>
      <c r="M68" s="11">
        <v>0</v>
      </c>
      <c r="N68" s="11">
        <v>-0.13950000000000001</v>
      </c>
      <c r="O68" s="11">
        <v>-8.6999999999999994E-2</v>
      </c>
      <c r="P68" s="11">
        <v>0</v>
      </c>
      <c r="Q68" s="11">
        <v>1.2726999999999999</v>
      </c>
      <c r="R68" s="11">
        <v>-0.6</v>
      </c>
      <c r="S68" s="11">
        <v>0</v>
      </c>
      <c r="T68" s="11">
        <v>-1.5094000000000001</v>
      </c>
      <c r="U68" s="11">
        <v>1.2</v>
      </c>
      <c r="V68" s="11">
        <v>1.5294000000000001</v>
      </c>
      <c r="X68" t="s">
        <v>540</v>
      </c>
      <c r="Z68" s="31" t="s">
        <v>524</v>
      </c>
      <c r="AA68" s="31"/>
    </row>
    <row r="69" spans="1:27" ht="15.6" thickTop="1" thickBot="1" x14ac:dyDescent="0.35">
      <c r="A69" s="13">
        <v>8039800</v>
      </c>
      <c r="B69" s="6" t="s">
        <v>103</v>
      </c>
      <c r="C69" s="2" t="s">
        <v>436</v>
      </c>
      <c r="D69" s="23">
        <v>45119</v>
      </c>
      <c r="E69" s="25" t="s">
        <v>176</v>
      </c>
      <c r="F69" s="11">
        <v>-2.4213075060532687E-2</v>
      </c>
      <c r="G69" s="11">
        <v>-1.4814814814814815E-2</v>
      </c>
      <c r="H69" s="11">
        <v>-0.2978723404255319</v>
      </c>
      <c r="I69" s="11">
        <v>1.6528925619834711E-2</v>
      </c>
      <c r="J69" s="11">
        <v>3.6363636363636362E-2</v>
      </c>
      <c r="K69" s="11">
        <v>-0.15384615384615385</v>
      </c>
      <c r="L69" s="11">
        <v>3.6363636363636362E-2</v>
      </c>
      <c r="M69" s="11">
        <v>-2.9850746268656716E-2</v>
      </c>
      <c r="N69" s="11">
        <v>0</v>
      </c>
      <c r="O69" s="11">
        <v>0</v>
      </c>
      <c r="P69" s="11">
        <v>-1.5555555555555556</v>
      </c>
      <c r="Q69" s="11">
        <v>0</v>
      </c>
      <c r="R69" s="11">
        <v>2.4096385542168676E-2</v>
      </c>
      <c r="S69" s="11">
        <v>0</v>
      </c>
      <c r="T69" s="11">
        <v>8.6956521739130432E-2</v>
      </c>
      <c r="U69" s="11">
        <v>2.8985507246376812E-2</v>
      </c>
      <c r="V69" s="11">
        <v>0</v>
      </c>
    </row>
    <row r="70" spans="1:27" ht="15.6" thickTop="1" thickBot="1" x14ac:dyDescent="0.35">
      <c r="A70" s="13">
        <v>8016800</v>
      </c>
      <c r="B70" s="6" t="s">
        <v>49</v>
      </c>
      <c r="C70" t="s">
        <v>372</v>
      </c>
      <c r="D70" s="23">
        <v>45119</v>
      </c>
      <c r="E70" s="24" t="s">
        <v>177</v>
      </c>
      <c r="F70" s="11">
        <v>-0.1179</v>
      </c>
      <c r="G70" s="12">
        <v>-3.2733224222585927E-2</v>
      </c>
      <c r="H70" s="12">
        <v>-0.32642487046632124</v>
      </c>
      <c r="I70" s="12">
        <v>-0.15238095238095239</v>
      </c>
      <c r="J70" s="12">
        <v>-0.16981132075471697</v>
      </c>
      <c r="K70" s="11">
        <v>4.2553191489361701E-2</v>
      </c>
      <c r="L70" s="11">
        <v>-3.7243947858473E-2</v>
      </c>
      <c r="M70" s="11">
        <v>-1.9801980198019802E-2</v>
      </c>
      <c r="N70" s="11">
        <v>-0.23333333333333334</v>
      </c>
      <c r="O70" s="11">
        <v>-0.3247863247863248</v>
      </c>
      <c r="P70" s="11">
        <v>-1</v>
      </c>
      <c r="Q70" s="11">
        <v>5.1724137931034482E-2</v>
      </c>
      <c r="R70" s="11">
        <v>-0.375</v>
      </c>
      <c r="S70" s="11">
        <v>-0.41025641025641024</v>
      </c>
      <c r="T70" s="11">
        <v>0</v>
      </c>
      <c r="U70" s="11">
        <v>0.2</v>
      </c>
      <c r="V70" s="11">
        <v>-0.25641025641025639</v>
      </c>
    </row>
    <row r="71" spans="1:27" ht="15.6" thickTop="1" thickBot="1" x14ac:dyDescent="0.35">
      <c r="A71" s="13">
        <v>8025700</v>
      </c>
      <c r="B71" s="6" t="s">
        <v>70</v>
      </c>
      <c r="C71" s="2" t="s">
        <v>395</v>
      </c>
      <c r="D71" s="23">
        <v>45384</v>
      </c>
      <c r="E71" s="24" t="s">
        <v>176</v>
      </c>
      <c r="F71" s="11">
        <v>-0.38294314381270905</v>
      </c>
      <c r="G71" s="11">
        <v>-0.24362606232294617</v>
      </c>
      <c r="H71" s="11">
        <v>-0.44148148148148147</v>
      </c>
      <c r="I71" s="11">
        <v>-0.20994475138121546</v>
      </c>
      <c r="J71" s="11">
        <v>-0.57010785824345145</v>
      </c>
      <c r="K71" s="11">
        <v>-0.44559585492227977</v>
      </c>
      <c r="L71" s="11">
        <v>-0.35294117647058826</v>
      </c>
      <c r="M71" s="11">
        <v>0.72727272727272729</v>
      </c>
      <c r="N71" s="11">
        <v>-3.9215686274509803E-2</v>
      </c>
      <c r="O71" s="11">
        <v>-7.3170731707317069E-2</v>
      </c>
      <c r="P71" s="11">
        <v>-1.9696969696969697</v>
      </c>
      <c r="Q71" s="11">
        <v>-0.17543859649122806</v>
      </c>
      <c r="R71" s="11">
        <v>-6.222222222222222E-2</v>
      </c>
      <c r="S71" s="11">
        <v>-1.826086956521739</v>
      </c>
      <c r="T71" s="11">
        <v>-0.29850746268656714</v>
      </c>
      <c r="U71" s="11">
        <v>0.13574660633484162</v>
      </c>
      <c r="V71" s="11">
        <v>-2</v>
      </c>
    </row>
    <row r="72" spans="1:27" ht="15.6" thickTop="1" thickBot="1" x14ac:dyDescent="0.35">
      <c r="A72" s="13">
        <v>8032000</v>
      </c>
      <c r="B72" s="6" t="s">
        <v>198</v>
      </c>
      <c r="C72" s="2" t="s">
        <v>280</v>
      </c>
      <c r="D72" s="23">
        <v>45384</v>
      </c>
      <c r="E72" s="24" t="s">
        <v>177</v>
      </c>
      <c r="F72" s="11">
        <v>-0.1688788477831121</v>
      </c>
      <c r="G72" s="11">
        <v>-0.32183908045977011</v>
      </c>
      <c r="H72" s="11">
        <v>-5.2478134110787174E-2</v>
      </c>
      <c r="I72" s="11">
        <v>-0.14983713355048861</v>
      </c>
      <c r="J72" s="11">
        <v>-0.13500784929356358</v>
      </c>
      <c r="K72" s="11">
        <v>-0.53623188405797106</v>
      </c>
      <c r="L72" s="11">
        <v>-0.25396825396825395</v>
      </c>
      <c r="M72" s="11">
        <v>-7.1428571428571425E-2</v>
      </c>
      <c r="N72" s="11">
        <v>-0.1702127659574468</v>
      </c>
      <c r="O72" s="11">
        <v>-1.2903225806451613E-2</v>
      </c>
      <c r="P72" s="11">
        <v>0</v>
      </c>
      <c r="Q72" s="11">
        <v>-0.4</v>
      </c>
      <c r="R72" s="11">
        <v>-0.14673366834170853</v>
      </c>
      <c r="S72" s="11">
        <v>0.13592233009708737</v>
      </c>
      <c r="T72" s="11">
        <v>-0.38297872340425532</v>
      </c>
      <c r="U72" s="11">
        <v>-8.5863874345549734E-2</v>
      </c>
      <c r="V72" s="11">
        <v>-0.13740458015267176</v>
      </c>
    </row>
    <row r="73" spans="1:27" ht="15.6" thickTop="1" thickBot="1" x14ac:dyDescent="0.35">
      <c r="A73" s="13">
        <v>8055100</v>
      </c>
      <c r="B73" s="6" t="s">
        <v>131</v>
      </c>
      <c r="C73" s="2" t="s">
        <v>468</v>
      </c>
      <c r="D73" s="23">
        <v>45121</v>
      </c>
      <c r="E73" s="25" t="s">
        <v>176</v>
      </c>
      <c r="F73" s="11">
        <v>-4.8458149779735685E-2</v>
      </c>
      <c r="G73" s="11">
        <v>0.16216216216216217</v>
      </c>
      <c r="H73" s="11">
        <v>-5.7142857142857141E-2</v>
      </c>
      <c r="I73" s="11">
        <v>-0.12709030100334448</v>
      </c>
      <c r="J73" s="11">
        <v>-1.3793103448275862E-2</v>
      </c>
      <c r="K73" s="11">
        <v>0.26666666666666666</v>
      </c>
      <c r="L73" s="11">
        <v>0.18181818181818182</v>
      </c>
      <c r="M73" s="11">
        <v>-0.18181818181818182</v>
      </c>
      <c r="N73" s="11">
        <v>-1.2269938650306749E-2</v>
      </c>
      <c r="O73" s="11">
        <v>-0.14925373134328357</v>
      </c>
      <c r="P73" s="11">
        <v>-0.13333333333333333</v>
      </c>
      <c r="Q73" s="11">
        <v>-0.17475728155339806</v>
      </c>
      <c r="R73" s="11">
        <v>-0.11764705882352941</v>
      </c>
      <c r="S73" s="11">
        <v>-4.6511627906976744E-2</v>
      </c>
      <c r="T73" s="11">
        <v>0.2857142857142857</v>
      </c>
      <c r="U73" s="11">
        <v>-5.9071729957805907E-2</v>
      </c>
      <c r="V73" s="11">
        <v>0.125</v>
      </c>
    </row>
    <row r="74" spans="1:27" ht="15.6" thickTop="1" thickBot="1" x14ac:dyDescent="0.35">
      <c r="A74" s="13">
        <v>8057970</v>
      </c>
      <c r="B74" s="6" t="s">
        <v>246</v>
      </c>
      <c r="C74" s="2" t="s">
        <v>329</v>
      </c>
      <c r="D74" s="23">
        <v>45824</v>
      </c>
      <c r="E74" s="32">
        <v>0.53125</v>
      </c>
      <c r="F74" s="11">
        <v>-1.52E-2</v>
      </c>
      <c r="G74" s="11">
        <v>-8.3099999999999993E-2</v>
      </c>
      <c r="H74" s="11">
        <v>7.2999999999999995E-2</v>
      </c>
      <c r="I74" s="11">
        <v>-4.58E-2</v>
      </c>
      <c r="J74" s="11">
        <v>8.8099999999999998E-2</v>
      </c>
      <c r="K74" s="11">
        <v>-0.20119999999999999</v>
      </c>
      <c r="L74" s="11">
        <v>0</v>
      </c>
      <c r="M74" s="11">
        <v>4.65E-2</v>
      </c>
      <c r="N74" s="11">
        <v>0</v>
      </c>
      <c r="O74" s="11">
        <v>0.1075</v>
      </c>
      <c r="P74" s="11">
        <v>0</v>
      </c>
      <c r="Q74" s="11">
        <v>-0.22220000000000001</v>
      </c>
      <c r="R74" s="11">
        <v>0.21279999999999999</v>
      </c>
      <c r="S74" s="11">
        <v>-9.5200000000000007E-2</v>
      </c>
      <c r="T74" s="11">
        <v>0.18179999999999999</v>
      </c>
      <c r="U74" s="11">
        <v>6.0600000000000001E-2</v>
      </c>
      <c r="V74" s="11">
        <v>8.6999999999999994E-2</v>
      </c>
      <c r="X74" t="s">
        <v>540</v>
      </c>
      <c r="Z74" s="31" t="s">
        <v>556</v>
      </c>
      <c r="AA74" s="31"/>
    </row>
    <row r="75" spans="1:27" ht="15.6" thickTop="1" thickBot="1" x14ac:dyDescent="0.35">
      <c r="A75" s="13">
        <v>8057965</v>
      </c>
      <c r="B75" s="6" t="s">
        <v>245</v>
      </c>
      <c r="C75" s="2" t="s">
        <v>328</v>
      </c>
      <c r="D75" s="23">
        <v>45826</v>
      </c>
      <c r="E75" s="32">
        <v>0.65625</v>
      </c>
      <c r="F75" s="11">
        <v>-2.87E-2</v>
      </c>
      <c r="G75" s="11">
        <v>-2.1499999999999998E-2</v>
      </c>
      <c r="H75" s="11">
        <v>0</v>
      </c>
      <c r="I75" s="11">
        <v>-7.7899999999999997E-2</v>
      </c>
      <c r="J75" s="11">
        <v>-6.9000000000000006E-2</v>
      </c>
      <c r="K75" s="11">
        <v>0.18179999999999999</v>
      </c>
      <c r="L75" s="11">
        <v>-4.0300000000000002E-2</v>
      </c>
      <c r="M75" s="11">
        <v>0</v>
      </c>
      <c r="N75" s="11">
        <v>0</v>
      </c>
      <c r="O75" s="11">
        <v>0</v>
      </c>
      <c r="P75" s="11">
        <v>0</v>
      </c>
      <c r="Q75" s="11">
        <v>-4.0800000000000003E-2</v>
      </c>
      <c r="R75" s="11">
        <v>0</v>
      </c>
      <c r="S75" s="11">
        <v>-9.9000000000000005E-2</v>
      </c>
      <c r="T75" s="11">
        <v>-0.1</v>
      </c>
      <c r="U75" s="11">
        <v>0</v>
      </c>
      <c r="V75" s="11">
        <v>0</v>
      </c>
      <c r="X75" t="s">
        <v>540</v>
      </c>
      <c r="Z75" s="31" t="s">
        <v>556</v>
      </c>
      <c r="AA75" s="31"/>
    </row>
    <row r="76" spans="1:27" ht="15.6" thickTop="1" thickBot="1" x14ac:dyDescent="0.35">
      <c r="A76" s="13">
        <v>8055800</v>
      </c>
      <c r="B76" s="6" t="s">
        <v>239</v>
      </c>
      <c r="C76" s="2" t="s">
        <v>321</v>
      </c>
      <c r="D76" s="23">
        <v>45827</v>
      </c>
      <c r="E76" s="32">
        <v>0.32291666666666669</v>
      </c>
      <c r="F76" s="11">
        <v>1.2699999999999999E-2</v>
      </c>
      <c r="G76" s="11">
        <v>-1.17E-2</v>
      </c>
      <c r="H76" s="11">
        <v>4.5100000000000001E-2</v>
      </c>
      <c r="I76" s="11">
        <v>0</v>
      </c>
      <c r="J76" s="11">
        <v>0</v>
      </c>
      <c r="K76" s="11">
        <v>-5.3100000000000001E-2</v>
      </c>
      <c r="L76" s="11">
        <v>-1.5299999999999999E-2</v>
      </c>
      <c r="M76" s="11">
        <v>2</v>
      </c>
      <c r="N76" s="11">
        <v>0</v>
      </c>
      <c r="O76" s="11">
        <v>4.65E-2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X76" t="s">
        <v>540</v>
      </c>
      <c r="Z76" s="31" t="s">
        <v>556</v>
      </c>
      <c r="AA76" s="31"/>
    </row>
    <row r="77" spans="1:27" ht="15.6" thickTop="1" thickBot="1" x14ac:dyDescent="0.35">
      <c r="A77" s="13">
        <v>8036600</v>
      </c>
      <c r="B77" s="6" t="s">
        <v>207</v>
      </c>
      <c r="C77" s="2" t="s">
        <v>289</v>
      </c>
      <c r="D77" s="23">
        <v>45765</v>
      </c>
      <c r="E77" s="32">
        <v>0.32291666666666669</v>
      </c>
      <c r="F77" s="11">
        <v>-8.9300000000000004E-2</v>
      </c>
      <c r="G77" s="11">
        <v>-0.1356</v>
      </c>
      <c r="H77" s="11">
        <v>0.13220000000000001</v>
      </c>
      <c r="I77" s="11">
        <v>-0.28570000000000001</v>
      </c>
      <c r="J77" s="11">
        <v>-0.1061</v>
      </c>
      <c r="K77" s="11">
        <v>0</v>
      </c>
      <c r="L77" s="11">
        <v>-0.17280000000000001</v>
      </c>
      <c r="M77" s="11">
        <v>0</v>
      </c>
      <c r="N77" s="11">
        <v>0</v>
      </c>
      <c r="O77" s="11">
        <v>0</v>
      </c>
      <c r="P77" s="11">
        <v>0</v>
      </c>
      <c r="Q77" s="11">
        <v>-1.3332999999999999</v>
      </c>
      <c r="R77" s="11">
        <v>-2.1100000000000001E-2</v>
      </c>
      <c r="S77" s="11">
        <v>-1.8571</v>
      </c>
      <c r="T77" s="11">
        <v>-6.9900000000000004E-2</v>
      </c>
      <c r="U77" s="11">
        <v>-2.1499999999999998E-2</v>
      </c>
      <c r="V77" s="11">
        <v>-1.5556000000000001</v>
      </c>
    </row>
    <row r="78" spans="1:27" ht="15.6" thickTop="1" thickBot="1" x14ac:dyDescent="0.35">
      <c r="A78" s="13">
        <v>8017200</v>
      </c>
      <c r="B78" s="6" t="s">
        <v>191</v>
      </c>
      <c r="C78" s="2" t="s">
        <v>272</v>
      </c>
      <c r="D78" s="45" t="s">
        <v>13</v>
      </c>
      <c r="E78" s="45" t="s">
        <v>13</v>
      </c>
      <c r="X78" s="44" t="s">
        <v>559</v>
      </c>
      <c r="Y78" s="44"/>
    </row>
    <row r="79" spans="1:27" ht="15.6" thickTop="1" thickBot="1" x14ac:dyDescent="0.35">
      <c r="A79" s="13">
        <v>8013200</v>
      </c>
      <c r="B79" s="6" t="s">
        <v>46</v>
      </c>
      <c r="C79" s="2" t="s">
        <v>367</v>
      </c>
      <c r="D79" s="23">
        <v>45117</v>
      </c>
      <c r="E79" s="25" t="s">
        <v>177</v>
      </c>
      <c r="F79" s="11">
        <v>-0.12133891213389121</v>
      </c>
      <c r="G79" s="11">
        <v>0</v>
      </c>
      <c r="H79" s="11">
        <v>-4.9382716049382713E-2</v>
      </c>
      <c r="I79" s="11">
        <v>-0.24630541871921183</v>
      </c>
      <c r="J79" s="11">
        <v>-0.42735042735042733</v>
      </c>
      <c r="K79" s="11">
        <v>-9.2307692307692313E-2</v>
      </c>
      <c r="L79" s="11">
        <v>5.9171597633136092E-2</v>
      </c>
      <c r="M79" s="11">
        <v>-5.128205128205128E-2</v>
      </c>
      <c r="N79" s="11">
        <v>-0.2857142857142857</v>
      </c>
      <c r="O79" s="11">
        <v>2.5104602510460251E-2</v>
      </c>
      <c r="P79" s="11">
        <v>0</v>
      </c>
      <c r="Q79" s="11">
        <v>-0.75862068965517238</v>
      </c>
      <c r="R79" s="11">
        <v>0.6</v>
      </c>
      <c r="S79" s="11">
        <v>-0.88888888888888884</v>
      </c>
      <c r="T79" s="11">
        <v>0.46153846153846156</v>
      </c>
      <c r="U79" s="11">
        <v>-0.63414634146341464</v>
      </c>
      <c r="V79" s="11">
        <v>-2</v>
      </c>
    </row>
    <row r="80" spans="1:27" ht="15.6" thickTop="1" thickBot="1" x14ac:dyDescent="0.35">
      <c r="A80" s="13">
        <v>8031700</v>
      </c>
      <c r="B80" s="6" t="s">
        <v>87</v>
      </c>
      <c r="C80" s="2" t="s">
        <v>416</v>
      </c>
      <c r="D80" s="23">
        <v>45827</v>
      </c>
      <c r="E80" s="32">
        <v>0.53125</v>
      </c>
      <c r="F80" s="11">
        <v>-2.47E-2</v>
      </c>
      <c r="G80" s="11">
        <v>-2.5000000000000001E-2</v>
      </c>
      <c r="H80" s="11">
        <v>-2.8799999999999999E-2</v>
      </c>
      <c r="I80" s="11">
        <v>0</v>
      </c>
      <c r="J80" s="11">
        <v>0</v>
      </c>
      <c r="K80" s="11">
        <v>-4.65E-2</v>
      </c>
      <c r="L80" s="11">
        <v>-2.1700000000000001E-2</v>
      </c>
      <c r="M80" s="11">
        <v>0</v>
      </c>
      <c r="N80" s="11">
        <v>0</v>
      </c>
      <c r="O80" s="11">
        <v>-2.41E-2</v>
      </c>
      <c r="P80" s="11">
        <v>-0.1333</v>
      </c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X80" s="31" t="s">
        <v>540</v>
      </c>
      <c r="Y80" s="31" t="s">
        <v>524</v>
      </c>
      <c r="Z80" s="31"/>
    </row>
    <row r="81" spans="1:27" ht="15.6" thickTop="1" thickBot="1" x14ac:dyDescent="0.35">
      <c r="A81" s="13">
        <v>8026800</v>
      </c>
      <c r="B81" s="6" t="s">
        <v>77</v>
      </c>
      <c r="C81" s="2" t="s">
        <v>403</v>
      </c>
      <c r="D81" s="23">
        <v>45344</v>
      </c>
      <c r="E81" s="25" t="s">
        <v>177</v>
      </c>
      <c r="F81" s="11">
        <v>-2.3926812104152005E-2</v>
      </c>
      <c r="G81" s="11">
        <v>-0.52631578947368418</v>
      </c>
      <c r="H81" s="11">
        <v>0.14754098360655737</v>
      </c>
      <c r="I81" s="11">
        <v>-5.3030303030303032E-2</v>
      </c>
      <c r="J81" s="11">
        <v>-5.0793650793650794E-2</v>
      </c>
      <c r="K81" s="11">
        <v>-1</v>
      </c>
      <c r="L81" s="11">
        <v>0</v>
      </c>
      <c r="M81" s="11">
        <v>0.66666666666666663</v>
      </c>
      <c r="N81" s="11">
        <v>-0.2608695652173913</v>
      </c>
      <c r="O81" s="11">
        <v>0.2857142857142857</v>
      </c>
      <c r="P81" s="11">
        <v>0.24083769633507854</v>
      </c>
      <c r="Q81" s="11">
        <v>0</v>
      </c>
      <c r="R81" s="11">
        <v>2.7722772277227723E-2</v>
      </c>
      <c r="S81" s="11">
        <v>-2</v>
      </c>
      <c r="T81" s="11">
        <v>-0.31578947368421051</v>
      </c>
      <c r="U81" s="11">
        <v>5.1502145922746781E-2</v>
      </c>
      <c r="V81" s="11">
        <v>-0.66666666666666663</v>
      </c>
    </row>
    <row r="82" spans="1:27" ht="15.6" thickTop="1" thickBot="1" x14ac:dyDescent="0.35">
      <c r="A82" s="13">
        <v>8025900</v>
      </c>
      <c r="B82" s="6" t="s">
        <v>71</v>
      </c>
      <c r="C82" s="2" t="s">
        <v>396</v>
      </c>
      <c r="D82" s="23">
        <v>45343</v>
      </c>
      <c r="E82" s="25" t="s">
        <v>174</v>
      </c>
      <c r="F82" s="11">
        <v>-5.5272337000268311E-2</v>
      </c>
      <c r="G82" s="11">
        <v>-0.14814814814814814</v>
      </c>
      <c r="H82" s="11">
        <v>-0.12280701754385964</v>
      </c>
      <c r="I82" s="11">
        <v>-1.6189962223421478E-2</v>
      </c>
      <c r="J82" s="11">
        <v>-6.968641114982578E-2</v>
      </c>
      <c r="K82" s="11">
        <v>-0.22784810126582278</v>
      </c>
      <c r="L82" s="11">
        <v>0.36363636363636365</v>
      </c>
      <c r="M82" s="11">
        <v>-0.25850340136054423</v>
      </c>
      <c r="N82" s="11">
        <v>3.7940379403794036E-2</v>
      </c>
      <c r="O82" s="11">
        <v>-1.3725490196078431</v>
      </c>
      <c r="P82" s="11">
        <v>0</v>
      </c>
      <c r="Q82" s="11">
        <v>3.2258064516129031E-2</v>
      </c>
      <c r="R82" s="11">
        <v>2.7084818246614399E-2</v>
      </c>
      <c r="S82" s="11">
        <v>-0.22085889570552147</v>
      </c>
      <c r="T82" s="11">
        <v>2.8985507246376812E-2</v>
      </c>
      <c r="U82" s="11">
        <v>-6.3745019920318724E-2</v>
      </c>
      <c r="V82" s="11">
        <v>-0.24</v>
      </c>
    </row>
    <row r="83" spans="1:27" ht="15.6" thickTop="1" thickBot="1" x14ac:dyDescent="0.35">
      <c r="A83" s="13">
        <v>8026000</v>
      </c>
      <c r="B83" s="6" t="s">
        <v>72</v>
      </c>
      <c r="C83" s="2" t="s">
        <v>397</v>
      </c>
      <c r="D83" s="23">
        <v>45384</v>
      </c>
      <c r="E83" s="24" t="s">
        <v>177</v>
      </c>
      <c r="F83" s="11">
        <v>-2.1903959561920809E-2</v>
      </c>
      <c r="G83" s="11">
        <v>-9.3023255813953487E-2</v>
      </c>
      <c r="H83" s="11">
        <v>-4.6082949308755762E-2</v>
      </c>
      <c r="I83" s="11">
        <v>4.7413793103448273E-2</v>
      </c>
      <c r="J83" s="11">
        <v>-6.3851699279093718E-2</v>
      </c>
      <c r="K83" s="11">
        <v>-0.46464646464646464</v>
      </c>
      <c r="L83" s="11">
        <v>0.35</v>
      </c>
      <c r="M83" s="11">
        <v>-7.5949367088607597E-2</v>
      </c>
      <c r="N83" s="11">
        <v>-0.12121212121212122</v>
      </c>
      <c r="O83" s="11">
        <v>0.12658227848101267</v>
      </c>
      <c r="P83" s="11">
        <v>-0.16666666666666666</v>
      </c>
      <c r="Q83" s="11">
        <v>-0.22222222222222221</v>
      </c>
      <c r="R83" s="11">
        <v>8.7390761548064924E-2</v>
      </c>
      <c r="S83" s="11">
        <v>-0.18181818181818182</v>
      </c>
      <c r="T83" s="11">
        <v>-0.44897959183673469</v>
      </c>
      <c r="U83" s="11">
        <v>-5.6720098643649818E-2</v>
      </c>
      <c r="V83" s="11">
        <v>5.4054054054054057E-2</v>
      </c>
    </row>
    <row r="84" spans="1:27" ht="15.6" thickTop="1" thickBot="1" x14ac:dyDescent="0.35">
      <c r="A84" s="13">
        <v>8026100</v>
      </c>
      <c r="B84" s="6" t="s">
        <v>73</v>
      </c>
      <c r="C84" s="2" t="s">
        <v>398</v>
      </c>
      <c r="D84" s="23">
        <v>45125</v>
      </c>
      <c r="E84" s="25" t="s">
        <v>174</v>
      </c>
      <c r="F84" s="11">
        <v>-1.0672358591248666E-2</v>
      </c>
      <c r="G84" s="11">
        <v>0.26666666666666666</v>
      </c>
      <c r="H84" s="11">
        <v>-1.2</v>
      </c>
      <c r="I84" s="11">
        <v>-4.8543689320388349E-2</v>
      </c>
      <c r="J84" s="11">
        <v>4.0449438202247189E-2</v>
      </c>
      <c r="K84" s="11">
        <v>0.25</v>
      </c>
      <c r="L84" s="11">
        <v>-2</v>
      </c>
      <c r="M84" s="11">
        <v>0.54545454545454541</v>
      </c>
      <c r="N84" s="11">
        <v>-1</v>
      </c>
      <c r="O84" s="11">
        <v>0.4</v>
      </c>
      <c r="P84" s="11">
        <v>-2</v>
      </c>
      <c r="Q84" s="11">
        <v>0.66666666666666663</v>
      </c>
      <c r="R84" s="11">
        <v>-6.0913705583756347E-2</v>
      </c>
      <c r="S84" s="11">
        <v>-2</v>
      </c>
      <c r="T84" s="11">
        <v>0.90909090909090906</v>
      </c>
      <c r="U84" s="11">
        <v>5.4495912806539508E-3</v>
      </c>
      <c r="V84" s="11">
        <v>-0.31111111111111112</v>
      </c>
    </row>
    <row r="85" spans="1:27" ht="15.6" thickTop="1" thickBot="1" x14ac:dyDescent="0.35">
      <c r="A85" s="13">
        <v>8053600</v>
      </c>
      <c r="B85" s="6" t="s">
        <v>122</v>
      </c>
      <c r="C85" s="2" t="s">
        <v>459</v>
      </c>
      <c r="D85" s="23">
        <v>45357</v>
      </c>
      <c r="E85" s="25" t="s">
        <v>177</v>
      </c>
      <c r="F85" s="11">
        <v>-0.13154500902759866</v>
      </c>
      <c r="G85" s="11">
        <v>-0.3776223776223776</v>
      </c>
      <c r="H85" s="11">
        <v>-0.17142857142857143</v>
      </c>
      <c r="I85" s="11">
        <v>-0.29705351773902583</v>
      </c>
      <c r="J85" s="11">
        <v>2.8484231943031537E-2</v>
      </c>
      <c r="K85" s="11">
        <v>-0.31578947368421051</v>
      </c>
      <c r="L85" s="11">
        <v>0.93333333333333335</v>
      </c>
      <c r="M85" s="11">
        <v>-0.62222222222222223</v>
      </c>
      <c r="N85" s="11">
        <v>-1.0588235294117647</v>
      </c>
      <c r="O85" s="11">
        <v>1.68</v>
      </c>
      <c r="P85" s="11">
        <v>-0.20689655172413793</v>
      </c>
      <c r="Q85" s="11">
        <v>0.29441624365482233</v>
      </c>
      <c r="R85" s="11">
        <v>-0.39714285714285713</v>
      </c>
      <c r="S85" s="11">
        <v>6.0606060606060608E-2</v>
      </c>
      <c r="T85" s="11">
        <v>0.17142857142857143</v>
      </c>
      <c r="U85" s="11">
        <v>3.2511798636601995E-2</v>
      </c>
      <c r="V85" s="11">
        <v>-0.5</v>
      </c>
    </row>
    <row r="86" spans="1:27" ht="15.6" thickTop="1" thickBot="1" x14ac:dyDescent="0.35">
      <c r="A86" s="13">
        <v>8026700</v>
      </c>
      <c r="B86" s="6" t="s">
        <v>76</v>
      </c>
      <c r="C86" s="2" t="s">
        <v>402</v>
      </c>
      <c r="D86" s="23">
        <v>45125</v>
      </c>
      <c r="E86" s="25" t="s">
        <v>174</v>
      </c>
      <c r="F86" s="11">
        <v>-0.24355555555555555</v>
      </c>
      <c r="G86" s="11">
        <v>0</v>
      </c>
      <c r="H86" s="11">
        <v>-7.874015748031496E-2</v>
      </c>
      <c r="I86" s="11">
        <v>-0.43881856540084391</v>
      </c>
      <c r="J86" s="11">
        <v>-0.13333333333333333</v>
      </c>
      <c r="K86" s="11">
        <v>0</v>
      </c>
      <c r="L86" s="11">
        <v>5.7142857142857141E-2</v>
      </c>
      <c r="M86" s="11">
        <v>-3.1746031746031744E-2</v>
      </c>
      <c r="N86" s="11">
        <v>-0.16393442622950818</v>
      </c>
      <c r="O86" s="11">
        <v>4.878048780487805E-2</v>
      </c>
      <c r="P86" s="11">
        <v>-0.08</v>
      </c>
      <c r="Q86" s="11">
        <v>-0.17543859649122806</v>
      </c>
      <c r="R86" s="11">
        <v>-0.54335260115606931</v>
      </c>
      <c r="S86" s="11">
        <v>-0.14084507042253522</v>
      </c>
      <c r="T86" s="11">
        <v>-0.14285714285714285</v>
      </c>
      <c r="U86" s="11">
        <v>-0.14054054054054055</v>
      </c>
      <c r="V86" s="11">
        <v>0</v>
      </c>
    </row>
    <row r="87" spans="1:27" ht="15.6" thickTop="1" thickBot="1" x14ac:dyDescent="0.35">
      <c r="A87" s="13">
        <v>8037000</v>
      </c>
      <c r="B87" s="6" t="s">
        <v>97</v>
      </c>
      <c r="C87" s="2" t="s">
        <v>428</v>
      </c>
      <c r="D87" s="23">
        <v>45122</v>
      </c>
      <c r="E87" s="25" t="s">
        <v>177</v>
      </c>
      <c r="F87" s="11">
        <v>-0.10224948875255624</v>
      </c>
      <c r="G87" s="11">
        <v>-7.4999999999999997E-2</v>
      </c>
      <c r="H87" s="11">
        <v>-3.3898305084745763E-2</v>
      </c>
      <c r="I87" s="11">
        <v>-0.3125</v>
      </c>
      <c r="J87" s="11">
        <v>-0.34482758620689657</v>
      </c>
      <c r="K87" s="11">
        <v>0.08</v>
      </c>
      <c r="L87" s="11">
        <v>-1.7699115044247787E-2</v>
      </c>
      <c r="M87" s="11">
        <v>-0.54545454545454541</v>
      </c>
      <c r="N87" s="11">
        <v>0</v>
      </c>
      <c r="O87" s="11">
        <v>-1.1560693641618497E-2</v>
      </c>
      <c r="P87" s="11">
        <v>-0.24</v>
      </c>
      <c r="Q87" s="11">
        <v>-7.407407407407407E-2</v>
      </c>
      <c r="R87" s="11">
        <v>0</v>
      </c>
      <c r="S87" s="11">
        <v>-0.51428571428571423</v>
      </c>
      <c r="T87" s="11">
        <v>-9.5238095238095233E-2</v>
      </c>
      <c r="U87" s="11">
        <v>0</v>
      </c>
      <c r="V87" s="11">
        <v>-2</v>
      </c>
    </row>
    <row r="88" spans="1:27" ht="15.6" thickTop="1" thickBot="1" x14ac:dyDescent="0.35">
      <c r="A88" s="13">
        <v>8042600</v>
      </c>
      <c r="B88" s="6" t="s">
        <v>215</v>
      </c>
      <c r="C88" s="2" t="s">
        <v>297</v>
      </c>
      <c r="D88" s="23">
        <v>45392</v>
      </c>
      <c r="E88" s="24" t="s">
        <v>177</v>
      </c>
      <c r="F88" s="11">
        <v>-7.9694323144104809E-2</v>
      </c>
      <c r="G88" s="11">
        <v>-2.9480217222653218E-2</v>
      </c>
      <c r="H88" s="11">
        <v>-7.1724137931034479E-2</v>
      </c>
      <c r="I88" s="11">
        <v>-0.26008968609865468</v>
      </c>
      <c r="J88" s="11">
        <v>-7.0981210855949897E-2</v>
      </c>
      <c r="K88" s="11">
        <v>0</v>
      </c>
      <c r="L88" s="11">
        <v>-8.2324455205811137E-2</v>
      </c>
      <c r="M88" s="11">
        <v>8.3102493074792241E-2</v>
      </c>
      <c r="N88" s="11">
        <v>-0.1388888888888889</v>
      </c>
      <c r="O88" s="11">
        <v>-8.8321884200196266E-2</v>
      </c>
      <c r="P88" s="11">
        <v>2.0905923344947737E-2</v>
      </c>
      <c r="Q88" s="11">
        <v>-0.11320754716981132</v>
      </c>
      <c r="R88" s="11">
        <v>0</v>
      </c>
      <c r="S88" s="11">
        <v>-0.90526315789473688</v>
      </c>
      <c r="T88" s="11">
        <v>-7.6655052264808357E-2</v>
      </c>
      <c r="U88" s="11">
        <v>8.4033613445378158E-2</v>
      </c>
      <c r="V88" s="11">
        <v>-0.30136986301369861</v>
      </c>
    </row>
    <row r="89" spans="1:27" ht="15.6" thickTop="1" thickBot="1" x14ac:dyDescent="0.35">
      <c r="A89" s="13">
        <v>8042700</v>
      </c>
      <c r="B89" s="6" t="s">
        <v>10</v>
      </c>
      <c r="C89" s="2" t="s">
        <v>441</v>
      </c>
      <c r="D89" s="23">
        <v>45103</v>
      </c>
      <c r="E89" s="24" t="s">
        <v>176</v>
      </c>
      <c r="F89" s="11">
        <v>0.22184133202742409</v>
      </c>
      <c r="G89" s="11">
        <v>-4.4393853158793399E-2</v>
      </c>
      <c r="H89" s="11">
        <v>1.1409942950285249E-2</v>
      </c>
      <c r="I89" s="11">
        <v>-0.11227402473834443</v>
      </c>
      <c r="J89" s="11">
        <v>-0.29432213209733488</v>
      </c>
      <c r="K89" s="11">
        <v>-0.12429378531073447</v>
      </c>
      <c r="L89" s="11">
        <v>0</v>
      </c>
      <c r="M89" s="11">
        <v>-0.14225941422594143</v>
      </c>
      <c r="N89" s="11">
        <v>-1.7094017094017096E-2</v>
      </c>
      <c r="O89" s="11">
        <v>0.2608695652173913</v>
      </c>
      <c r="P89" s="11">
        <v>-2</v>
      </c>
      <c r="Q89" s="11">
        <v>-2.2988505747126436E-2</v>
      </c>
      <c r="R89" s="11">
        <v>3.3240997229916899E-2</v>
      </c>
      <c r="S89" s="11">
        <v>-2</v>
      </c>
      <c r="T89" s="11">
        <v>3.8834951456310676E-2</v>
      </c>
      <c r="U89" s="11">
        <v>7.6628352490421452E-3</v>
      </c>
      <c r="V89" s="11">
        <v>-1.9703703703703703</v>
      </c>
    </row>
    <row r="90" spans="1:27" ht="15.6" thickTop="1" thickBot="1" x14ac:dyDescent="0.35">
      <c r="A90" s="13">
        <v>8026600</v>
      </c>
      <c r="B90" s="6" t="s">
        <v>75</v>
      </c>
      <c r="C90" s="2" t="s">
        <v>401</v>
      </c>
      <c r="D90" s="23">
        <v>45125</v>
      </c>
      <c r="E90" s="25" t="s">
        <v>174</v>
      </c>
      <c r="F90" s="11">
        <v>-0.49708284714119022</v>
      </c>
      <c r="G90" s="11">
        <v>0</v>
      </c>
      <c r="H90" s="11">
        <v>-0.14925373134328357</v>
      </c>
      <c r="I90" s="11">
        <v>-0.62264150943396224</v>
      </c>
      <c r="J90" s="11">
        <v>-0.49824561403508771</v>
      </c>
      <c r="K90" s="11">
        <v>0</v>
      </c>
      <c r="L90" s="11">
        <v>-0.4</v>
      </c>
      <c r="M90" s="11">
        <v>2</v>
      </c>
      <c r="N90" s="11">
        <v>-6.8965517241379309E-2</v>
      </c>
      <c r="O90" s="11">
        <v>0</v>
      </c>
      <c r="P90" s="11">
        <v>-2</v>
      </c>
      <c r="Q90" s="11">
        <v>0</v>
      </c>
      <c r="R90" s="11">
        <v>-0.64723032069970843</v>
      </c>
      <c r="S90" s="11">
        <v>-0.57534246575342463</v>
      </c>
      <c r="T90" s="11">
        <v>-0.2857142857142857</v>
      </c>
      <c r="U90" s="11">
        <v>-0.50724637681159424</v>
      </c>
      <c r="V90" s="11">
        <v>0</v>
      </c>
    </row>
    <row r="91" spans="1:27" ht="15.6" thickTop="1" thickBot="1" x14ac:dyDescent="0.35">
      <c r="A91" s="13">
        <v>8038300</v>
      </c>
      <c r="B91" s="6" t="s">
        <v>99</v>
      </c>
      <c r="C91" s="2" t="s">
        <v>430</v>
      </c>
      <c r="D91" s="23">
        <v>45126</v>
      </c>
      <c r="E91" s="25" t="s">
        <v>176</v>
      </c>
      <c r="F91" s="11">
        <v>-0.22857142857142856</v>
      </c>
      <c r="G91" s="11">
        <v>-0.17391304347826086</v>
      </c>
      <c r="H91" s="11">
        <v>-0.3056768558951965</v>
      </c>
      <c r="I91" s="11">
        <v>-6.4516129032258063E-2</v>
      </c>
      <c r="J91" s="11" t="s">
        <v>13</v>
      </c>
      <c r="K91" s="11" t="s">
        <v>13</v>
      </c>
      <c r="L91" s="11">
        <v>-3.7383177570093455E-2</v>
      </c>
      <c r="M91" s="11">
        <v>-2</v>
      </c>
      <c r="N91" s="11">
        <v>0</v>
      </c>
      <c r="O91" s="11">
        <v>-0.31674208144796379</v>
      </c>
      <c r="P91" s="11" t="s">
        <v>13</v>
      </c>
      <c r="Q91" s="11">
        <v>0</v>
      </c>
      <c r="R91" s="11">
        <v>2</v>
      </c>
      <c r="S91" s="11">
        <v>-0.15384615384615385</v>
      </c>
      <c r="T91" s="11" t="s">
        <v>13</v>
      </c>
      <c r="U91" s="11" t="s">
        <v>13</v>
      </c>
      <c r="V91" s="11" t="s">
        <v>13</v>
      </c>
      <c r="X91" t="s">
        <v>531</v>
      </c>
      <c r="Z91" s="31" t="s">
        <v>524</v>
      </c>
      <c r="AA91" s="31"/>
    </row>
    <row r="92" spans="1:27" ht="15.6" thickTop="1" thickBot="1" x14ac:dyDescent="0.35">
      <c r="A92" s="13">
        <v>8026500</v>
      </c>
      <c r="B92" s="6" t="s">
        <v>18</v>
      </c>
      <c r="C92" s="2" t="s">
        <v>400</v>
      </c>
      <c r="D92" s="23">
        <v>45105</v>
      </c>
      <c r="E92" s="24" t="s">
        <v>177</v>
      </c>
      <c r="F92" s="11">
        <v>-0.26475745178258331</v>
      </c>
      <c r="G92" s="11">
        <v>0.12239999999999999</v>
      </c>
      <c r="H92" s="11">
        <v>-9.1700000000000004E-2</v>
      </c>
      <c r="I92" s="11">
        <v>-0.1197</v>
      </c>
      <c r="J92" s="11">
        <v>-9.35E-2</v>
      </c>
      <c r="K92" s="11">
        <v>0.22220000000000001</v>
      </c>
      <c r="L92" s="11">
        <v>0.11020000000000001</v>
      </c>
      <c r="M92" s="11">
        <v>0.18179999999999999</v>
      </c>
      <c r="N92" s="11">
        <v>-0.15379999999999999</v>
      </c>
      <c r="O92" s="11">
        <v>2.53E-2</v>
      </c>
      <c r="P92" s="11">
        <v>-2</v>
      </c>
      <c r="Q92" s="11">
        <v>0</v>
      </c>
      <c r="R92" s="11">
        <v>5.7099999999999998E-2</v>
      </c>
      <c r="S92" s="11">
        <v>-0.41860000000000003</v>
      </c>
      <c r="T92" s="11">
        <v>-0.15379999999999999</v>
      </c>
      <c r="U92" s="11">
        <v>-5.1299999999999998E-2</v>
      </c>
      <c r="V92" s="11">
        <v>-0.66669999999999996</v>
      </c>
    </row>
    <row r="93" spans="1:27" ht="15.6" thickTop="1" thickBot="1" x14ac:dyDescent="0.35">
      <c r="A93" s="13">
        <v>8032700</v>
      </c>
      <c r="B93" s="6" t="s">
        <v>199</v>
      </c>
      <c r="C93" s="2" t="s">
        <v>281</v>
      </c>
      <c r="D93" s="23">
        <v>45754</v>
      </c>
      <c r="E93" s="32">
        <v>0.53125</v>
      </c>
      <c r="F93" s="11">
        <v>-9.0300000000000005E-2</v>
      </c>
      <c r="G93" s="11">
        <v>-0.4</v>
      </c>
      <c r="H93" s="11">
        <v>-0.4</v>
      </c>
      <c r="I93" s="11">
        <v>-0.23080000000000001</v>
      </c>
      <c r="J93" s="11">
        <v>2.47E-2</v>
      </c>
      <c r="K93" s="11">
        <v>0</v>
      </c>
      <c r="L93" s="11">
        <v>0</v>
      </c>
      <c r="M93" s="11">
        <v>-0.4</v>
      </c>
      <c r="N93" s="11">
        <v>0</v>
      </c>
      <c r="O93" s="11">
        <v>0</v>
      </c>
      <c r="P93" s="11">
        <v>-0.54549999999999998</v>
      </c>
      <c r="Q93" s="11">
        <v>0</v>
      </c>
      <c r="R93" s="11">
        <v>-0.1905</v>
      </c>
      <c r="S93" s="11">
        <v>-1</v>
      </c>
      <c r="T93" s="11">
        <v>0</v>
      </c>
      <c r="U93" s="11">
        <v>2.9000000000000001E-2</v>
      </c>
      <c r="V93" s="11">
        <v>0</v>
      </c>
    </row>
    <row r="94" spans="1:27" ht="15.6" thickTop="1" thickBot="1" x14ac:dyDescent="0.35">
      <c r="A94" s="13">
        <v>8006100</v>
      </c>
      <c r="B94" s="6" t="s">
        <v>36</v>
      </c>
      <c r="C94" s="2" t="s">
        <v>356</v>
      </c>
      <c r="D94" s="23">
        <v>45117</v>
      </c>
      <c r="E94" s="25" t="s">
        <v>176</v>
      </c>
      <c r="F94" s="11">
        <v>-3.2362459546925564E-2</v>
      </c>
      <c r="G94" s="11">
        <v>5.0420168067226892E-2</v>
      </c>
      <c r="H94" s="11">
        <v>1.4598540145985401E-2</v>
      </c>
      <c r="I94" s="11">
        <v>-0.11363636363636363</v>
      </c>
      <c r="J94" s="11">
        <v>-4.3010752688172046E-2</v>
      </c>
      <c r="K94" s="11">
        <v>0</v>
      </c>
      <c r="L94" s="11">
        <v>0</v>
      </c>
      <c r="M94" s="11">
        <v>0.11764705882352941</v>
      </c>
      <c r="N94" s="11">
        <v>-2.4096385542168676E-2</v>
      </c>
      <c r="O94" s="11">
        <v>5.128205128205128E-2</v>
      </c>
      <c r="P94" s="11">
        <v>0.13333333333333333</v>
      </c>
      <c r="Q94" s="11">
        <v>0</v>
      </c>
      <c r="R94" s="11">
        <v>-1.7391304347826087E-2</v>
      </c>
      <c r="S94" s="11">
        <v>-0.46153846153846156</v>
      </c>
      <c r="T94" s="11">
        <v>0</v>
      </c>
      <c r="U94" s="11">
        <v>-1.5748031496062992E-2</v>
      </c>
      <c r="V94" s="11">
        <v>-0.35294117647058826</v>
      </c>
    </row>
    <row r="95" spans="1:27" ht="15.6" thickTop="1" thickBot="1" x14ac:dyDescent="0.35">
      <c r="A95" s="13">
        <v>8025400</v>
      </c>
      <c r="B95" s="6" t="s">
        <v>68</v>
      </c>
      <c r="C95" s="2" t="s">
        <v>393</v>
      </c>
      <c r="D95" s="23">
        <v>45117</v>
      </c>
      <c r="E95" s="25" t="s">
        <v>176</v>
      </c>
      <c r="F95" s="11">
        <v>0.36902050113895218</v>
      </c>
      <c r="G95" s="11">
        <v>-0.76923076923076927</v>
      </c>
      <c r="H95" s="11">
        <v>0</v>
      </c>
      <c r="I95" s="11">
        <v>-3.7037037037037035E-2</v>
      </c>
      <c r="J95" s="11">
        <v>-8.6956521739130432E-2</v>
      </c>
      <c r="K95" s="11">
        <v>0</v>
      </c>
      <c r="L95" s="11">
        <v>-0.2857142857142857</v>
      </c>
      <c r="M95" s="11">
        <v>-1.6363636363636365</v>
      </c>
      <c r="N95" s="11">
        <v>2</v>
      </c>
      <c r="O95" s="11">
        <v>-2</v>
      </c>
      <c r="P95" s="11">
        <v>0</v>
      </c>
      <c r="Q95" s="11">
        <v>0</v>
      </c>
      <c r="R95" s="11">
        <v>-2.1052631578947368E-2</v>
      </c>
      <c r="S95" s="11">
        <v>-2</v>
      </c>
      <c r="T95" s="11">
        <v>0.4</v>
      </c>
      <c r="U95" s="11">
        <v>-7.6923076923076927E-2</v>
      </c>
      <c r="V95" s="11">
        <v>-1.5</v>
      </c>
    </row>
    <row r="96" spans="1:27" ht="15.6" thickTop="1" thickBot="1" x14ac:dyDescent="0.35">
      <c r="A96" s="13">
        <v>8022000</v>
      </c>
      <c r="B96" s="6" t="s">
        <v>60</v>
      </c>
      <c r="C96" s="2" t="s">
        <v>383</v>
      </c>
      <c r="D96" s="23">
        <v>45117</v>
      </c>
      <c r="E96" s="25" t="s">
        <v>176</v>
      </c>
      <c r="F96" s="11">
        <v>-8.5245901639344257E-2</v>
      </c>
      <c r="G96" s="11">
        <v>0</v>
      </c>
      <c r="H96" s="11">
        <v>-4.4444444444444446E-2</v>
      </c>
      <c r="I96" s="11">
        <v>0</v>
      </c>
      <c r="J96" s="11">
        <v>-0.1875</v>
      </c>
      <c r="K96" s="11">
        <v>0</v>
      </c>
      <c r="L96" s="11">
        <v>0</v>
      </c>
      <c r="M96" s="11">
        <v>0</v>
      </c>
      <c r="N96" s="11">
        <v>-0.15384615384615385</v>
      </c>
      <c r="O96" s="11">
        <v>0.66666666666666663</v>
      </c>
      <c r="P96" s="11">
        <v>-6.8965517241379309E-2</v>
      </c>
      <c r="Q96" s="11">
        <v>0</v>
      </c>
      <c r="R96" s="11">
        <v>-1.8691588785046728E-2</v>
      </c>
      <c r="S96" s="11">
        <v>0.15384615384615385</v>
      </c>
      <c r="T96" s="11">
        <v>-0.54545454545454541</v>
      </c>
      <c r="U96" s="11">
        <v>-0.15652173913043479</v>
      </c>
      <c r="V96" s="11">
        <v>0</v>
      </c>
    </row>
    <row r="97" spans="1:27" ht="15.6" thickTop="1" thickBot="1" x14ac:dyDescent="0.35">
      <c r="A97" s="13">
        <v>8010200</v>
      </c>
      <c r="B97" s="6" t="s">
        <v>43</v>
      </c>
      <c r="C97" s="2" t="s">
        <v>363</v>
      </c>
      <c r="D97" s="23">
        <v>45100</v>
      </c>
      <c r="E97" s="25" t="s">
        <v>176</v>
      </c>
      <c r="F97" s="11">
        <v>-0.14243323442136499</v>
      </c>
      <c r="G97" s="11">
        <v>2.1052631578947368E-2</v>
      </c>
      <c r="H97" s="11">
        <v>-0.14000000000000001</v>
      </c>
      <c r="I97" s="11">
        <v>-0.29729729729729731</v>
      </c>
      <c r="J97" s="11">
        <v>-0.20588235294117646</v>
      </c>
      <c r="K97" s="11">
        <v>-0.26666666666666666</v>
      </c>
      <c r="L97" s="11">
        <v>5.8823529411764705E-2</v>
      </c>
      <c r="M97" s="11">
        <v>0.16666666666666666</v>
      </c>
      <c r="N97" s="11">
        <v>-0.15384615384615385</v>
      </c>
      <c r="O97" s="11">
        <v>2.8571428571428571E-2</v>
      </c>
      <c r="P97" s="11">
        <v>-1.2380952380952381</v>
      </c>
      <c r="Q97" s="11">
        <v>-0.14285714285714285</v>
      </c>
      <c r="R97" s="11">
        <v>2.197802197802198E-2</v>
      </c>
      <c r="S97" s="11">
        <v>-1.4482758620689655</v>
      </c>
      <c r="T97" s="11">
        <v>-5.4054054054054057E-2</v>
      </c>
      <c r="U97" s="11">
        <v>-4.5454545454545456E-2</v>
      </c>
      <c r="V97" s="11">
        <v>-2</v>
      </c>
      <c r="X97" t="s">
        <v>541</v>
      </c>
      <c r="Z97" s="31" t="s">
        <v>524</v>
      </c>
      <c r="AA97" s="31"/>
    </row>
    <row r="98" spans="1:27" ht="15.6" thickTop="1" thickBot="1" x14ac:dyDescent="0.35">
      <c r="A98" s="13">
        <v>8054700</v>
      </c>
      <c r="B98" s="6" t="s">
        <v>127</v>
      </c>
      <c r="C98" s="2" t="s">
        <v>464</v>
      </c>
      <c r="D98" s="23">
        <v>45124</v>
      </c>
      <c r="E98" s="25" t="s">
        <v>174</v>
      </c>
      <c r="F98" s="11">
        <v>4.6403712296983757E-3</v>
      </c>
      <c r="G98" s="11">
        <v>-2.8985507246376812E-2</v>
      </c>
      <c r="H98" s="11" t="s">
        <v>13</v>
      </c>
      <c r="I98" s="11">
        <v>-1.1976047904191617E-2</v>
      </c>
      <c r="J98" s="11">
        <v>3.0769230769230771E-2</v>
      </c>
      <c r="K98" s="11">
        <v>-4.6511627906976744E-2</v>
      </c>
      <c r="L98" s="11">
        <v>2</v>
      </c>
      <c r="M98" s="11">
        <v>-0.08</v>
      </c>
      <c r="N98" s="11" t="s">
        <v>13</v>
      </c>
      <c r="O98" s="11" t="s">
        <v>13</v>
      </c>
      <c r="P98" s="11" t="s">
        <v>13</v>
      </c>
      <c r="Q98" s="11">
        <v>-0.2</v>
      </c>
      <c r="R98" s="11">
        <v>0</v>
      </c>
      <c r="S98" s="11">
        <v>2</v>
      </c>
      <c r="T98" s="11">
        <v>2</v>
      </c>
      <c r="U98" s="11">
        <v>-1.5056179775280898</v>
      </c>
      <c r="V98" s="11">
        <v>5.4054054054054057E-2</v>
      </c>
    </row>
    <row r="99" spans="1:27" ht="15.6" thickTop="1" thickBot="1" x14ac:dyDescent="0.35">
      <c r="A99" s="13">
        <v>8008800</v>
      </c>
      <c r="B99" s="6" t="s">
        <v>185</v>
      </c>
      <c r="C99" s="2" t="s">
        <v>266</v>
      </c>
      <c r="D99" s="23">
        <v>45378</v>
      </c>
      <c r="E99" s="25" t="s">
        <v>177</v>
      </c>
      <c r="F99" s="11">
        <v>-9.9355328024270009E-2</v>
      </c>
      <c r="G99" s="11">
        <v>-3.5264483627204031E-2</v>
      </c>
      <c r="H99" s="11">
        <v>-0.17737003058103976</v>
      </c>
      <c r="I99" s="11">
        <v>-0.19354838709677419</v>
      </c>
      <c r="J99" s="11">
        <v>-4.2432814710042434E-2</v>
      </c>
      <c r="K99" s="11">
        <v>-1.1428571428571429E-2</v>
      </c>
      <c r="L99" s="11">
        <v>-8.8495575221238937E-2</v>
      </c>
      <c r="M99" s="11">
        <v>0.44444444444444442</v>
      </c>
      <c r="N99" s="11">
        <v>1.3245033112582781E-2</v>
      </c>
      <c r="O99" s="11">
        <v>-0.12307692307692308</v>
      </c>
      <c r="P99" s="11">
        <v>-0.36129032258064514</v>
      </c>
      <c r="Q99" s="11">
        <v>0.81967213114754101</v>
      </c>
      <c r="R99" s="11">
        <v>-1.7</v>
      </c>
      <c r="S99" s="11">
        <v>-0.22222222222222221</v>
      </c>
      <c r="T99" s="11">
        <v>-0.19259259259259259</v>
      </c>
      <c r="U99" s="11">
        <v>0.75</v>
      </c>
      <c r="V99" s="11">
        <v>-0.18947368421052632</v>
      </c>
      <c r="X99" t="s">
        <v>541</v>
      </c>
      <c r="Z99" s="31" t="s">
        <v>524</v>
      </c>
      <c r="AA99" s="31"/>
    </row>
    <row r="100" spans="1:27" ht="15.6" thickTop="1" thickBot="1" x14ac:dyDescent="0.35">
      <c r="A100" s="13">
        <v>8009500</v>
      </c>
      <c r="B100" s="6" t="s">
        <v>186</v>
      </c>
      <c r="C100" s="2" t="s">
        <v>267</v>
      </c>
      <c r="D100" s="23">
        <v>45391</v>
      </c>
      <c r="E100" s="25" t="s">
        <v>177</v>
      </c>
      <c r="F100" s="11">
        <v>-0.14846335697399526</v>
      </c>
      <c r="G100" s="11">
        <v>6.6225165562913912E-2</v>
      </c>
      <c r="H100" s="11">
        <v>0</v>
      </c>
      <c r="I100" s="11">
        <v>7.3937153419593345E-3</v>
      </c>
      <c r="J100" s="11">
        <v>-0.4289405684754522</v>
      </c>
      <c r="K100" s="11">
        <v>0</v>
      </c>
      <c r="L100" s="11">
        <v>0.12121212121212122</v>
      </c>
      <c r="M100" s="11">
        <v>2.8169014084507043E-2</v>
      </c>
      <c r="N100" s="11">
        <v>-0.4</v>
      </c>
      <c r="O100" s="11">
        <v>0.15384615384615385</v>
      </c>
      <c r="P100" s="11">
        <v>0</v>
      </c>
      <c r="Q100" s="11">
        <v>-2.7397260273972601E-2</v>
      </c>
      <c r="R100" s="11">
        <v>6.0913705583756344E-3</v>
      </c>
      <c r="S100" s="11">
        <v>0.16666666666666666</v>
      </c>
      <c r="T100" s="11">
        <v>-0.75</v>
      </c>
      <c r="U100" s="11">
        <v>-0.4183535762483131</v>
      </c>
      <c r="V100" s="11">
        <v>-0.58823529411764708</v>
      </c>
      <c r="X100" t="s">
        <v>544</v>
      </c>
      <c r="Z100" s="31" t="s">
        <v>524</v>
      </c>
      <c r="AA100" s="31"/>
    </row>
    <row r="101" spans="1:27" ht="15.6" thickTop="1" thickBot="1" x14ac:dyDescent="0.35">
      <c r="A101" s="13">
        <v>8005700</v>
      </c>
      <c r="B101" s="6" t="s">
        <v>35</v>
      </c>
      <c r="C101" s="2" t="s">
        <v>355</v>
      </c>
      <c r="D101" s="23">
        <v>45330</v>
      </c>
      <c r="E101" s="25" t="s">
        <v>177</v>
      </c>
      <c r="F101" s="11">
        <v>-0.41755997958141911</v>
      </c>
      <c r="G101" s="11">
        <v>-0.27505827505827507</v>
      </c>
      <c r="H101" s="11">
        <v>-1.3100233100233101</v>
      </c>
      <c r="I101" s="11">
        <v>-0.30760164997053624</v>
      </c>
      <c r="J101" s="11">
        <v>-0.31841526045487895</v>
      </c>
      <c r="K101" s="11">
        <v>-0.65625</v>
      </c>
      <c r="L101" s="11">
        <v>0.14814814814814814</v>
      </c>
      <c r="M101" s="11">
        <v>-0.41726618705035973</v>
      </c>
      <c r="N101" s="11">
        <v>-0.18867924528301888</v>
      </c>
      <c r="O101" s="11">
        <v>-0.41269841269841268</v>
      </c>
      <c r="P101" s="11">
        <v>-1.9846153846153847</v>
      </c>
      <c r="Q101" s="11">
        <v>-4.878048780487805E-2</v>
      </c>
      <c r="R101" s="11">
        <v>-0.24010382868267358</v>
      </c>
      <c r="S101" s="11">
        <v>-2</v>
      </c>
      <c r="T101" s="11">
        <v>-1.1901840490797546</v>
      </c>
      <c r="U101" s="11">
        <v>-0.11538461538461539</v>
      </c>
      <c r="V101" s="11">
        <v>-1.9285714285714286</v>
      </c>
      <c r="X101" t="s">
        <v>541</v>
      </c>
      <c r="Z101" s="31" t="s">
        <v>524</v>
      </c>
      <c r="AA101" s="31"/>
    </row>
    <row r="102" spans="1:27" ht="15.6" thickTop="1" thickBot="1" x14ac:dyDescent="0.35">
      <c r="A102" s="13">
        <v>8007100</v>
      </c>
      <c r="B102" s="6" t="s">
        <v>184</v>
      </c>
      <c r="C102" s="2" t="s">
        <v>265</v>
      </c>
      <c r="D102" s="23">
        <v>45378</v>
      </c>
      <c r="E102" s="25" t="s">
        <v>177</v>
      </c>
      <c r="F102" s="11">
        <v>-8.5836909871244635E-2</v>
      </c>
      <c r="G102" s="11">
        <v>1.282051282051282E-2</v>
      </c>
      <c r="H102" s="11">
        <v>-6.3157894736842107E-2</v>
      </c>
      <c r="I102" s="11">
        <v>-7.1942446043165464E-2</v>
      </c>
      <c r="J102" s="11">
        <v>-0.14269005847953217</v>
      </c>
      <c r="K102" s="11">
        <v>-0.19718309859154928</v>
      </c>
      <c r="L102" s="11">
        <v>0.35087719298245612</v>
      </c>
      <c r="M102" s="11">
        <v>-0.14285714285714285</v>
      </c>
      <c r="N102" s="11">
        <v>8.6956521739130432E-2</v>
      </c>
      <c r="O102" s="11">
        <v>8.1632653061224483E-2</v>
      </c>
      <c r="P102" s="11">
        <v>-0.3188405797101449</v>
      </c>
      <c r="Q102" s="11">
        <v>0</v>
      </c>
      <c r="R102" s="11">
        <v>-4.3763676148796497E-2</v>
      </c>
      <c r="S102" s="11">
        <v>-2</v>
      </c>
      <c r="T102" s="11">
        <v>-0.11764705882352941</v>
      </c>
      <c r="U102" s="11">
        <v>-0.11829436038514443</v>
      </c>
      <c r="V102" s="11">
        <v>-0.38961038961038963</v>
      </c>
    </row>
    <row r="103" spans="1:27" ht="13.95" customHeight="1" thickTop="1" thickBot="1" x14ac:dyDescent="0.35">
      <c r="A103" s="13">
        <v>8027600</v>
      </c>
      <c r="B103" s="6" t="s">
        <v>79</v>
      </c>
      <c r="C103" s="2" t="s">
        <v>406</v>
      </c>
      <c r="D103" s="23">
        <v>45119</v>
      </c>
      <c r="E103" s="25" t="s">
        <v>176</v>
      </c>
      <c r="F103" s="11">
        <v>-0.16625916870415647</v>
      </c>
      <c r="G103" s="11">
        <v>-0.16393442622950818</v>
      </c>
      <c r="H103" s="11">
        <v>-1.2269938650306749E-2</v>
      </c>
      <c r="I103" s="11">
        <v>-0.36315789473684212</v>
      </c>
      <c r="J103" s="11">
        <v>6.5420560747663545E-2</v>
      </c>
      <c r="K103" s="11">
        <v>-0.13953488372093023</v>
      </c>
      <c r="L103" s="11">
        <v>0</v>
      </c>
      <c r="M103" s="11">
        <v>-0.17721518987341772</v>
      </c>
      <c r="N103" s="11">
        <v>0.13953488372093023</v>
      </c>
      <c r="O103" s="11">
        <v>-0.13043478260869565</v>
      </c>
      <c r="P103" s="11">
        <v>1.0471204188481676E-2</v>
      </c>
      <c r="Q103" s="11">
        <v>-0.23728813559322035</v>
      </c>
      <c r="R103" s="11">
        <v>-3.4155597722960153E-2</v>
      </c>
      <c r="S103" s="11">
        <v>-2</v>
      </c>
      <c r="T103" s="11">
        <v>2</v>
      </c>
      <c r="U103" s="11">
        <v>0.21772151898734177</v>
      </c>
      <c r="V103" s="11">
        <v>-2</v>
      </c>
    </row>
    <row r="104" spans="1:27" ht="15.6" thickTop="1" thickBot="1" x14ac:dyDescent="0.35">
      <c r="A104" s="13">
        <v>8054100</v>
      </c>
      <c r="B104" s="6" t="s">
        <v>237</v>
      </c>
      <c r="C104" s="2" t="s">
        <v>319</v>
      </c>
      <c r="D104" s="23">
        <v>45827</v>
      </c>
      <c r="E104" s="32">
        <v>0.65625</v>
      </c>
      <c r="F104" s="11">
        <v>-0.1426</v>
      </c>
      <c r="G104" s="11">
        <v>0.13950000000000001</v>
      </c>
      <c r="H104" s="11">
        <v>0</v>
      </c>
      <c r="I104" s="11">
        <v>-0.43169999999999997</v>
      </c>
      <c r="J104" s="11">
        <v>1.43E-2</v>
      </c>
      <c r="K104" s="11">
        <v>0</v>
      </c>
      <c r="L104" s="11">
        <v>0</v>
      </c>
      <c r="M104" s="11">
        <v>0.32729999999999998</v>
      </c>
      <c r="N104" s="11">
        <v>0</v>
      </c>
      <c r="O104" s="11">
        <v>0</v>
      </c>
      <c r="P104" s="11">
        <v>0</v>
      </c>
      <c r="Q104" s="11">
        <v>-3.0800000000000001E-2</v>
      </c>
      <c r="R104" s="11">
        <v>-1.9419999999999999</v>
      </c>
      <c r="S104" s="11">
        <v>2</v>
      </c>
      <c r="T104" s="11">
        <v>0</v>
      </c>
      <c r="U104" s="11">
        <v>0</v>
      </c>
      <c r="V104" s="11">
        <v>4.7600000000000003E-2</v>
      </c>
      <c r="X104" t="s">
        <v>540</v>
      </c>
      <c r="Z104" s="31" t="s">
        <v>556</v>
      </c>
      <c r="AA104" s="31"/>
    </row>
    <row r="105" spans="1:27" ht="15.6" thickTop="1" thickBot="1" x14ac:dyDescent="0.35">
      <c r="A105" s="13">
        <v>8051500</v>
      </c>
      <c r="B105" s="6" t="s">
        <v>230</v>
      </c>
      <c r="C105" s="2" t="s">
        <v>312</v>
      </c>
      <c r="D105" s="23">
        <v>45828</v>
      </c>
      <c r="E105" s="32">
        <v>0.625</v>
      </c>
      <c r="F105" s="11">
        <v>-1.9800000000000002E-2</v>
      </c>
      <c r="G105" s="11">
        <v>-4.5499999999999999E-2</v>
      </c>
      <c r="H105" s="11">
        <v>-2.8199999999999999E-2</v>
      </c>
      <c r="I105" s="11">
        <v>-4.58E-2</v>
      </c>
      <c r="J105" s="11">
        <v>9.2999999999999992E-3</v>
      </c>
      <c r="K105" s="11">
        <v>-2.8199999999999999E-2</v>
      </c>
      <c r="L105" s="11">
        <v>-0.15379999999999999</v>
      </c>
      <c r="M105" s="11">
        <v>0</v>
      </c>
      <c r="N105" s="11">
        <v>-0.1176</v>
      </c>
      <c r="O105" s="11">
        <v>-0.18179999999999999</v>
      </c>
      <c r="P105" s="11">
        <v>0.125</v>
      </c>
      <c r="Q105" s="11">
        <v>0</v>
      </c>
      <c r="R105" s="11">
        <v>-4.8800000000000003E-2</v>
      </c>
      <c r="S105" s="11">
        <v>0</v>
      </c>
      <c r="T105" s="11">
        <v>0</v>
      </c>
      <c r="U105" s="11">
        <v>1.6299999999999999E-2</v>
      </c>
      <c r="V105" s="11">
        <v>0</v>
      </c>
      <c r="X105" t="s">
        <v>540</v>
      </c>
      <c r="Z105" s="31" t="s">
        <v>556</v>
      </c>
      <c r="AA105" s="31" t="s">
        <v>558</v>
      </c>
    </row>
    <row r="106" spans="1:27" ht="15.6" thickTop="1" thickBot="1" x14ac:dyDescent="0.35">
      <c r="A106" s="13">
        <v>8049800</v>
      </c>
      <c r="B106" s="6" t="s">
        <v>117</v>
      </c>
      <c r="C106" s="2" t="s">
        <v>453</v>
      </c>
      <c r="D106" s="23">
        <v>45112</v>
      </c>
      <c r="E106" s="25" t="s">
        <v>176</v>
      </c>
      <c r="F106" s="11">
        <v>-0.20253164556962025</v>
      </c>
      <c r="G106" s="11" t="s">
        <v>13</v>
      </c>
      <c r="H106" s="11">
        <v>-0.08</v>
      </c>
      <c r="I106" s="11">
        <v>-0.39130434782608697</v>
      </c>
      <c r="J106" s="11">
        <v>-8.4210526315789472E-2</v>
      </c>
      <c r="K106" s="11" t="s">
        <v>13</v>
      </c>
      <c r="L106" s="11" t="s">
        <v>13</v>
      </c>
      <c r="M106" s="11" t="s">
        <v>13</v>
      </c>
      <c r="N106" s="11">
        <v>-8.6956521739130432E-2</v>
      </c>
      <c r="O106" s="11">
        <v>2</v>
      </c>
      <c r="P106" s="11">
        <v>-0.10526315789473684</v>
      </c>
      <c r="Q106" s="11" t="s">
        <v>13</v>
      </c>
      <c r="R106" s="11">
        <v>-0.15</v>
      </c>
      <c r="S106" s="11">
        <v>-2</v>
      </c>
      <c r="T106" s="11">
        <v>-0.26865671641791045</v>
      </c>
      <c r="U106" s="11">
        <v>1.6260162601626018E-2</v>
      </c>
      <c r="V106" s="11" t="s">
        <v>13</v>
      </c>
    </row>
    <row r="107" spans="1:27" ht="15.6" thickTop="1" thickBot="1" x14ac:dyDescent="0.35">
      <c r="A107" s="13">
        <v>8054400</v>
      </c>
      <c r="B107" s="6" t="s">
        <v>125</v>
      </c>
      <c r="C107" s="2" t="s">
        <v>462</v>
      </c>
      <c r="D107" s="23">
        <v>45113</v>
      </c>
      <c r="E107" s="25" t="s">
        <v>176</v>
      </c>
      <c r="F107" s="11">
        <v>-0.15859030837004406</v>
      </c>
      <c r="G107" s="11">
        <v>-0.31372549019607843</v>
      </c>
      <c r="H107" s="11">
        <v>-2.197802197802198E-2</v>
      </c>
      <c r="I107" s="11">
        <v>-0.21917808219178081</v>
      </c>
      <c r="J107" s="11">
        <v>-5.2173913043478258E-2</v>
      </c>
      <c r="K107" s="11">
        <v>0</v>
      </c>
      <c r="L107" s="11">
        <v>2.8169014084507043E-2</v>
      </c>
      <c r="M107" s="11">
        <v>-2</v>
      </c>
      <c r="N107" s="11">
        <v>0</v>
      </c>
      <c r="O107" s="11">
        <v>0</v>
      </c>
      <c r="P107" s="11">
        <v>-0.66666666666666663</v>
      </c>
      <c r="Q107" s="11">
        <v>-4.878048780487805E-2</v>
      </c>
      <c r="R107" s="11">
        <v>0</v>
      </c>
      <c r="S107" s="11">
        <v>-2</v>
      </c>
      <c r="T107" s="11">
        <v>-0.2857142857142857</v>
      </c>
      <c r="U107" s="11">
        <v>1.9801980198019802E-2</v>
      </c>
      <c r="V107" s="11">
        <v>-0.8571428571428571</v>
      </c>
    </row>
    <row r="108" spans="1:27" ht="15.6" thickTop="1" thickBot="1" x14ac:dyDescent="0.35">
      <c r="A108" s="13">
        <v>8033150</v>
      </c>
      <c r="B108" s="6" t="s">
        <v>200</v>
      </c>
      <c r="C108" s="2" t="s">
        <v>282</v>
      </c>
      <c r="D108" s="23">
        <v>45831</v>
      </c>
      <c r="E108" s="32">
        <v>0.32291666666666669</v>
      </c>
      <c r="F108" s="11">
        <v>-2.12E-2</v>
      </c>
      <c r="G108" s="11">
        <v>-1.9E-2</v>
      </c>
      <c r="H108" s="11">
        <v>-1.52E-2</v>
      </c>
      <c r="I108" s="11">
        <v>-0.66669999999999996</v>
      </c>
      <c r="J108" s="11">
        <v>0</v>
      </c>
      <c r="K108" s="11">
        <v>0</v>
      </c>
      <c r="L108" s="11">
        <v>-2.0199999999999999E-2</v>
      </c>
      <c r="M108" s="11">
        <v>0</v>
      </c>
      <c r="N108" s="11">
        <v>0.18179999999999999</v>
      </c>
      <c r="O108" s="11">
        <v>-1.9300000000000001E-2</v>
      </c>
      <c r="P108" s="11">
        <v>0</v>
      </c>
      <c r="Q108" s="11">
        <v>-1</v>
      </c>
      <c r="R108" s="11">
        <v>2</v>
      </c>
      <c r="S108" s="11">
        <v>-2</v>
      </c>
      <c r="T108" s="11">
        <v>0</v>
      </c>
      <c r="U108" s="11">
        <v>0</v>
      </c>
      <c r="V108" s="11">
        <v>0</v>
      </c>
      <c r="X108" t="s">
        <v>540</v>
      </c>
      <c r="Z108" s="31" t="s">
        <v>556</v>
      </c>
      <c r="AA108" s="31"/>
    </row>
    <row r="109" spans="1:27" ht="15.6" thickTop="1" thickBot="1" x14ac:dyDescent="0.35">
      <c r="A109" s="13">
        <v>8039900</v>
      </c>
      <c r="B109" s="6" t="s">
        <v>213</v>
      </c>
      <c r="C109" s="2" t="s">
        <v>295</v>
      </c>
      <c r="D109" s="23">
        <v>45831</v>
      </c>
      <c r="E109" s="32">
        <v>0.65625</v>
      </c>
      <c r="F109" s="11">
        <v>-3.9699999999999999E-2</v>
      </c>
      <c r="G109" s="11">
        <v>1.9800000000000002E-2</v>
      </c>
      <c r="H109" s="11">
        <v>4.8800000000000003E-2</v>
      </c>
      <c r="I109" s="11">
        <v>-1.6500000000000001E-2</v>
      </c>
      <c r="J109" s="11">
        <v>-0.47370000000000001</v>
      </c>
      <c r="K109" s="11">
        <v>0</v>
      </c>
      <c r="L109" s="11">
        <v>2.47E-2</v>
      </c>
      <c r="M109" s="11">
        <v>0</v>
      </c>
      <c r="N109" s="11">
        <v>-8.6999999999999994E-2</v>
      </c>
      <c r="O109" s="11">
        <v>7.2300000000000003E-2</v>
      </c>
      <c r="P109" s="11">
        <v>0</v>
      </c>
      <c r="Q109" s="11">
        <v>-6.0600000000000001E-2</v>
      </c>
      <c r="R109" s="11">
        <v>-2.9000000000000001E-2</v>
      </c>
      <c r="S109" s="11">
        <v>0.1053</v>
      </c>
      <c r="T109" s="11">
        <v>0</v>
      </c>
      <c r="U109" s="11">
        <v>-0.57140000000000002</v>
      </c>
      <c r="V109" s="11">
        <v>-1</v>
      </c>
      <c r="X109" t="s">
        <v>540</v>
      </c>
      <c r="Z109" s="31" t="s">
        <v>556</v>
      </c>
      <c r="AA109" s="31"/>
    </row>
    <row r="110" spans="1:27" ht="15.6" thickTop="1" thickBot="1" x14ac:dyDescent="0.35">
      <c r="A110" s="13">
        <v>8030800</v>
      </c>
      <c r="B110" s="6" t="s">
        <v>197</v>
      </c>
      <c r="C110" s="2" t="s">
        <v>279</v>
      </c>
      <c r="D110" s="23">
        <v>45751</v>
      </c>
      <c r="E110" s="24" t="s">
        <v>176</v>
      </c>
      <c r="F110" s="11">
        <v>0.113</v>
      </c>
      <c r="G110" s="11">
        <v>0.20830000000000001</v>
      </c>
      <c r="H110" s="11">
        <v>0.2</v>
      </c>
      <c r="I110" s="11">
        <v>-4.7999999999999996E-3</v>
      </c>
      <c r="J110" s="11">
        <v>0.68659999999999999</v>
      </c>
      <c r="K110" s="11">
        <v>-0.44440000000000002</v>
      </c>
      <c r="L110" s="11">
        <v>1.0476000000000001</v>
      </c>
      <c r="M110" s="11">
        <v>0</v>
      </c>
      <c r="N110" s="11">
        <v>0</v>
      </c>
      <c r="O110" s="11">
        <v>0</v>
      </c>
      <c r="P110" s="11">
        <v>0.66669999999999996</v>
      </c>
      <c r="Q110" s="11">
        <v>-3.1300000000000001E-2</v>
      </c>
      <c r="R110" s="11">
        <v>6.8999999999999999E-3</v>
      </c>
      <c r="S110" s="11">
        <v>0</v>
      </c>
      <c r="T110" s="11">
        <v>0</v>
      </c>
      <c r="U110" s="11">
        <v>0.21279999999999999</v>
      </c>
      <c r="V110" s="11">
        <v>2</v>
      </c>
    </row>
    <row r="111" spans="1:27" ht="15.6" thickTop="1" thickBot="1" x14ac:dyDescent="0.35">
      <c r="A111" s="13">
        <v>8028100</v>
      </c>
      <c r="B111" s="6" t="s">
        <v>80</v>
      </c>
      <c r="C111" s="2" t="s">
        <v>408</v>
      </c>
      <c r="D111" s="23">
        <v>45344</v>
      </c>
      <c r="E111" s="25" t="s">
        <v>177</v>
      </c>
      <c r="F111" s="11">
        <v>-9.281627463445645E-2</v>
      </c>
      <c r="G111" s="11">
        <v>5.0209205020920501E-2</v>
      </c>
      <c r="H111" s="11">
        <v>-4.2194092827004218E-2</v>
      </c>
      <c r="I111" s="11">
        <v>-0.13017751479289941</v>
      </c>
      <c r="J111" s="11">
        <v>-0.2831858407079646</v>
      </c>
      <c r="K111" s="11">
        <v>0.16113744075829384</v>
      </c>
      <c r="L111" s="11">
        <v>-7.9051383399209481E-3</v>
      </c>
      <c r="M111" s="11">
        <v>-0.5714285714285714</v>
      </c>
      <c r="N111" s="11">
        <v>0</v>
      </c>
      <c r="O111" s="11">
        <v>0.51895043731778423</v>
      </c>
      <c r="P111" s="11">
        <v>-1.8857142857142857</v>
      </c>
      <c r="Q111" s="11">
        <v>0</v>
      </c>
      <c r="R111" s="11">
        <v>-3.6363636363636362E-2</v>
      </c>
      <c r="S111" s="11">
        <v>-0.38297872340425532</v>
      </c>
      <c r="T111" s="11">
        <v>0.2153846153846154</v>
      </c>
      <c r="U111" s="11">
        <v>0</v>
      </c>
      <c r="V111" s="11">
        <v>-0.63934426229508201</v>
      </c>
    </row>
    <row r="112" spans="1:27" ht="15.6" thickTop="1" thickBot="1" x14ac:dyDescent="0.35">
      <c r="A112" s="13">
        <v>8054900</v>
      </c>
      <c r="B112" s="6" t="s">
        <v>129</v>
      </c>
      <c r="C112" s="2" t="s">
        <v>466</v>
      </c>
      <c r="D112" s="23">
        <v>45832</v>
      </c>
      <c r="E112" s="32">
        <v>0.33333333333333331</v>
      </c>
      <c r="F112" s="11">
        <v>-0.13170000000000001</v>
      </c>
      <c r="G112" s="11">
        <v>0</v>
      </c>
      <c r="H112" s="11">
        <v>-1.6295999999999999</v>
      </c>
      <c r="I112" s="11">
        <v>0.05</v>
      </c>
      <c r="J112" s="11">
        <v>-3.2099999999999997E-2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-1.76</v>
      </c>
      <c r="Q112" s="11">
        <v>0</v>
      </c>
      <c r="R112" s="11">
        <v>6.1100000000000002E-2</v>
      </c>
      <c r="S112" s="11">
        <v>-0.18179999999999999</v>
      </c>
      <c r="T112" s="11">
        <v>-0.52500000000000002</v>
      </c>
      <c r="U112" s="11">
        <v>0.33639999999999998</v>
      </c>
      <c r="V112" s="11">
        <v>0</v>
      </c>
      <c r="W112" s="11"/>
      <c r="X112" t="s">
        <v>540</v>
      </c>
      <c r="Z112" s="31" t="s">
        <v>556</v>
      </c>
      <c r="AA112" s="31"/>
    </row>
    <row r="113" spans="1:27" ht="15.6" thickTop="1" thickBot="1" x14ac:dyDescent="0.35">
      <c r="A113" s="13">
        <v>8023900</v>
      </c>
      <c r="B113" s="6" t="s">
        <v>19</v>
      </c>
      <c r="C113" s="2" t="s">
        <v>388</v>
      </c>
      <c r="D113" s="23">
        <v>45100</v>
      </c>
      <c r="E113" s="24" t="s">
        <v>177</v>
      </c>
      <c r="F113" s="11">
        <v>0.8845004978426817</v>
      </c>
      <c r="G113" s="11">
        <v>4.7407407407407405E-2</v>
      </c>
      <c r="H113" s="11">
        <v>-4.4806517311608958E-2</v>
      </c>
      <c r="I113" s="11">
        <v>6.4516129032258063E-2</v>
      </c>
      <c r="J113" s="11">
        <v>3.6429872495446266E-3</v>
      </c>
      <c r="K113" s="11">
        <v>0.19704433497536947</v>
      </c>
      <c r="L113" s="11">
        <v>-1.9889502762430938E-2</v>
      </c>
      <c r="M113" s="11">
        <v>5.128205128205128E-2</v>
      </c>
      <c r="N113" s="11">
        <v>-1.6260162601626018E-2</v>
      </c>
      <c r="O113" s="11">
        <v>-3.911342894393742E-2</v>
      </c>
      <c r="P113" s="11">
        <v>-0.13043478260869565</v>
      </c>
      <c r="Q113" s="11">
        <v>-1.4285714285714286</v>
      </c>
      <c r="R113" s="11">
        <v>0.75</v>
      </c>
      <c r="S113" s="11">
        <v>5.128205128205128E-2</v>
      </c>
      <c r="T113" s="11">
        <v>-0.88607594936708856</v>
      </c>
      <c r="U113" s="11">
        <v>0.72340425531914898</v>
      </c>
      <c r="V113" s="11">
        <v>1.0638297872340425E-2</v>
      </c>
    </row>
    <row r="114" spans="1:27" ht="15.6" thickTop="1" thickBot="1" x14ac:dyDescent="0.35">
      <c r="A114" s="13">
        <v>8023100</v>
      </c>
      <c r="B114" s="6" t="s">
        <v>63</v>
      </c>
      <c r="C114" s="2" t="s">
        <v>386</v>
      </c>
      <c r="D114" s="23">
        <v>45343</v>
      </c>
      <c r="E114" s="25" t="s">
        <v>177</v>
      </c>
      <c r="F114" s="11">
        <v>-1.8752547900529964E-2</v>
      </c>
      <c r="G114" s="11">
        <v>-1.2526096033402923E-2</v>
      </c>
      <c r="H114" s="11">
        <v>-2.1406727828746176E-2</v>
      </c>
      <c r="I114" s="11">
        <v>-3.7735849056603772E-2</v>
      </c>
      <c r="J114" s="11">
        <v>-4.5112781954887216E-2</v>
      </c>
      <c r="K114" s="11">
        <v>0</v>
      </c>
      <c r="L114" s="11">
        <v>-2.2805017103762829E-3</v>
      </c>
      <c r="M114" s="11">
        <v>-0.4</v>
      </c>
      <c r="N114" s="11">
        <v>-0.87179487179487181</v>
      </c>
      <c r="O114" s="11">
        <v>7.4349442379182153E-3</v>
      </c>
      <c r="P114" s="11">
        <v>-1.0362694300518135E-2</v>
      </c>
      <c r="Q114" s="11">
        <v>-0.13333333333333333</v>
      </c>
      <c r="R114" s="11">
        <v>0.4</v>
      </c>
      <c r="S114" s="11">
        <v>0</v>
      </c>
      <c r="T114" s="11">
        <v>-6.25E-2</v>
      </c>
      <c r="U114" s="11">
        <v>0.66666666666666663</v>
      </c>
      <c r="V114" s="11">
        <v>0</v>
      </c>
    </row>
    <row r="115" spans="1:27" ht="15.6" thickTop="1" thickBot="1" x14ac:dyDescent="0.35">
      <c r="A115" s="13">
        <v>8002100</v>
      </c>
      <c r="B115" s="6" t="s">
        <v>180</v>
      </c>
      <c r="C115" s="2" t="s">
        <v>261</v>
      </c>
      <c r="D115" s="23">
        <v>45727</v>
      </c>
      <c r="E115" s="24" t="s">
        <v>526</v>
      </c>
      <c r="F115" s="11">
        <v>-0.30470000000000003</v>
      </c>
      <c r="G115" s="11">
        <v>-0.58760000000000001</v>
      </c>
      <c r="H115" s="11">
        <v>-7.1599999999999997E-2</v>
      </c>
      <c r="I115" s="11">
        <v>-0.15379999999999999</v>
      </c>
      <c r="J115" s="11">
        <v>4.8800000000000003E-2</v>
      </c>
      <c r="K115" s="11">
        <v>0.66669999999999996</v>
      </c>
      <c r="L115" s="11">
        <v>-0.65500000000000003</v>
      </c>
      <c r="M115" s="11">
        <v>-0.1176</v>
      </c>
      <c r="N115" s="11">
        <v>-0.73680000000000001</v>
      </c>
      <c r="O115" s="11">
        <v>-0.05</v>
      </c>
      <c r="P115" s="11">
        <v>0.16669999999999999</v>
      </c>
      <c r="Q115" s="11">
        <v>-0.36359999999999998</v>
      </c>
      <c r="R115" s="11">
        <v>1</v>
      </c>
      <c r="S115" s="11">
        <v>-0.15379999999999999</v>
      </c>
      <c r="T115" s="11">
        <v>0.08</v>
      </c>
      <c r="U115" s="11">
        <v>0</v>
      </c>
      <c r="V115" s="11">
        <v>0</v>
      </c>
      <c r="X115" t="s">
        <v>523</v>
      </c>
      <c r="Z115" s="31" t="s">
        <v>524</v>
      </c>
      <c r="AA115" s="31"/>
    </row>
    <row r="116" spans="1:27" ht="15.6" thickTop="1" thickBot="1" x14ac:dyDescent="0.35">
      <c r="A116" s="13">
        <v>8002000</v>
      </c>
      <c r="B116" s="6" t="s">
        <v>179</v>
      </c>
      <c r="C116" s="2" t="s">
        <v>260</v>
      </c>
      <c r="D116" s="23">
        <v>45378</v>
      </c>
      <c r="E116" s="25" t="s">
        <v>177</v>
      </c>
      <c r="F116" s="11">
        <v>-8.3067092651757185E-2</v>
      </c>
      <c r="G116" s="11">
        <v>-2.8513238289205704E-2</v>
      </c>
      <c r="H116" s="11">
        <v>-0.11298315163528246</v>
      </c>
      <c r="I116" s="11">
        <v>-0.19259259259259259</v>
      </c>
      <c r="J116" s="11">
        <v>-7.1942446043165464E-2</v>
      </c>
      <c r="K116" s="11">
        <v>-1.11731843575419E-2</v>
      </c>
      <c r="L116" s="11">
        <v>-0.4982698961937716</v>
      </c>
      <c r="M116" s="11">
        <v>1.1644444444444444</v>
      </c>
      <c r="N116" s="11">
        <v>-0.61224489795918369</v>
      </c>
      <c r="O116" s="11">
        <v>-6.7226890756302518E-2</v>
      </c>
      <c r="P116" s="11">
        <v>-0.14634146341463414</v>
      </c>
      <c r="Q116" s="11">
        <v>-0.26415094339622641</v>
      </c>
      <c r="R116" s="11">
        <v>-4.878048780487805E-2</v>
      </c>
      <c r="S116" s="11">
        <v>-0.43902439024390244</v>
      </c>
      <c r="T116" s="11">
        <v>1.5748031496062992E-2</v>
      </c>
      <c r="U116" s="11">
        <v>-1.680672268907563E-2</v>
      </c>
      <c r="V116" s="11">
        <v>-0.22950819672131148</v>
      </c>
    </row>
    <row r="117" spans="1:27" ht="15.6" thickTop="1" thickBot="1" x14ac:dyDescent="0.35">
      <c r="A117" s="13">
        <v>8018200</v>
      </c>
      <c r="B117" s="6" t="s">
        <v>53</v>
      </c>
      <c r="C117" s="2" t="s">
        <v>376</v>
      </c>
      <c r="D117" s="23">
        <v>45133</v>
      </c>
      <c r="E117" s="25" t="s">
        <v>177</v>
      </c>
      <c r="F117" s="11">
        <v>-1.2422360248447204E-2</v>
      </c>
      <c r="G117" s="11">
        <v>-0.11464968152866242</v>
      </c>
      <c r="H117" s="11">
        <v>0.21212121212121213</v>
      </c>
      <c r="I117" s="11">
        <v>-0.15789473684210525</v>
      </c>
      <c r="J117" s="11">
        <v>-3.3898305084745763E-2</v>
      </c>
      <c r="K117" s="11">
        <v>-0.34782608695652173</v>
      </c>
      <c r="L117" s="11">
        <v>0.29166666666666669</v>
      </c>
      <c r="M117" s="11">
        <v>-2</v>
      </c>
      <c r="N117" s="11">
        <v>-0.2</v>
      </c>
      <c r="O117" s="11">
        <v>0.50980392156862742</v>
      </c>
      <c r="P117" s="11">
        <v>-2</v>
      </c>
      <c r="Q117" s="11">
        <v>-0.60869565217391308</v>
      </c>
      <c r="R117" s="11">
        <v>0.30769230769230771</v>
      </c>
      <c r="S117" s="11">
        <v>-0.22222222222222221</v>
      </c>
      <c r="T117" s="11">
        <v>0</v>
      </c>
      <c r="U117" s="11">
        <v>-3.3898305084745763E-2</v>
      </c>
      <c r="V117" s="11">
        <v>-4.0816326530612242E-2</v>
      </c>
    </row>
    <row r="118" spans="1:27" ht="15.6" thickTop="1" thickBot="1" x14ac:dyDescent="0.35">
      <c r="A118" s="13">
        <v>8056200</v>
      </c>
      <c r="B118" s="6" t="s">
        <v>136</v>
      </c>
      <c r="C118" s="2" t="s">
        <v>475</v>
      </c>
      <c r="D118" s="23">
        <v>45832</v>
      </c>
      <c r="E118" s="32">
        <v>0.53125</v>
      </c>
      <c r="F118" s="11">
        <v>-0.1313</v>
      </c>
      <c r="G118" s="11">
        <v>-0.12889999999999999</v>
      </c>
      <c r="H118" s="11">
        <v>-7.3099999999999998E-2</v>
      </c>
      <c r="I118" s="11">
        <v>-2</v>
      </c>
      <c r="J118" s="11">
        <v>-1.5</v>
      </c>
      <c r="K118" s="11">
        <v>-0.22220000000000001</v>
      </c>
      <c r="L118" s="11">
        <v>-0.11840000000000001</v>
      </c>
      <c r="M118" s="11">
        <v>0</v>
      </c>
      <c r="N118" s="11">
        <v>-0.5</v>
      </c>
      <c r="O118" s="11">
        <v>-4.9099999999999998E-2</v>
      </c>
      <c r="P118" s="11">
        <v>0</v>
      </c>
      <c r="Q118" s="11">
        <v>-2</v>
      </c>
      <c r="R118" s="11">
        <v>-2</v>
      </c>
      <c r="S118" s="11">
        <v>0</v>
      </c>
      <c r="T118" s="11">
        <v>-2</v>
      </c>
      <c r="U118" s="11">
        <v>0</v>
      </c>
      <c r="V118" s="11">
        <v>0</v>
      </c>
      <c r="X118" t="s">
        <v>540</v>
      </c>
      <c r="Z118" s="31" t="s">
        <v>556</v>
      </c>
      <c r="AA118" s="31"/>
    </row>
    <row r="119" spans="1:27" ht="15.6" thickTop="1" thickBot="1" x14ac:dyDescent="0.35">
      <c r="A119" s="13">
        <v>8050600</v>
      </c>
      <c r="B119" s="6" t="s">
        <v>227</v>
      </c>
      <c r="C119" s="2" t="s">
        <v>309</v>
      </c>
      <c r="D119" s="23">
        <v>45832</v>
      </c>
      <c r="E119" s="32">
        <v>0.625</v>
      </c>
      <c r="F119" s="11">
        <v>-0.35599999999999998</v>
      </c>
      <c r="G119" s="11">
        <v>0.1033</v>
      </c>
      <c r="H119" s="11">
        <v>0.59540000000000004</v>
      </c>
      <c r="I119" s="11">
        <v>-1.9649000000000001</v>
      </c>
      <c r="J119" s="11">
        <v>-2</v>
      </c>
      <c r="K119" s="11">
        <v>-0.84440000000000004</v>
      </c>
      <c r="L119" s="11">
        <v>0.54549999999999998</v>
      </c>
      <c r="M119" s="11">
        <v>-2</v>
      </c>
      <c r="N119" s="11">
        <v>-1.1765000000000001</v>
      </c>
      <c r="O119" s="11">
        <v>1</v>
      </c>
      <c r="P119" s="11">
        <v>-1.6667000000000001</v>
      </c>
      <c r="Q119" s="11">
        <v>-2</v>
      </c>
      <c r="R119" s="11">
        <v>-2</v>
      </c>
      <c r="S119" s="11">
        <v>-1.8571</v>
      </c>
      <c r="T119" s="11">
        <v>-2</v>
      </c>
      <c r="U119" s="11">
        <v>-2</v>
      </c>
      <c r="V119" s="11">
        <v>-2</v>
      </c>
      <c r="X119" t="s">
        <v>540</v>
      </c>
      <c r="Z119" s="31" t="s">
        <v>556</v>
      </c>
      <c r="AA119" s="31"/>
    </row>
    <row r="120" spans="1:27" ht="15.6" thickTop="1" thickBot="1" x14ac:dyDescent="0.35">
      <c r="A120" s="13">
        <v>9010720</v>
      </c>
      <c r="B120" s="6" t="s">
        <v>258</v>
      </c>
      <c r="C120" s="2" t="s">
        <v>341</v>
      </c>
      <c r="D120" s="23">
        <v>45833</v>
      </c>
      <c r="E120" s="32">
        <v>0.51041666666666663</v>
      </c>
      <c r="F120" s="11">
        <v>-0.24299999999999999</v>
      </c>
      <c r="G120" s="11">
        <v>-0.18290000000000001</v>
      </c>
      <c r="H120" s="11">
        <v>-0.219</v>
      </c>
      <c r="I120" s="11">
        <v>-0.24</v>
      </c>
      <c r="J120" s="11">
        <v>-0.31209999999999999</v>
      </c>
      <c r="K120" s="11">
        <v>-6.5000000000000002E-2</v>
      </c>
      <c r="L120" s="11">
        <v>-0.53659999999999997</v>
      </c>
      <c r="M120" s="11">
        <v>0</v>
      </c>
      <c r="N120" s="11">
        <v>0.2029</v>
      </c>
      <c r="O120" s="11">
        <v>-0.64710000000000001</v>
      </c>
      <c r="P120" s="11">
        <v>0</v>
      </c>
      <c r="Q120" s="11">
        <v>-0.16220000000000001</v>
      </c>
      <c r="R120" s="11">
        <v>-0.25</v>
      </c>
      <c r="S120" s="11">
        <v>0</v>
      </c>
      <c r="T120" s="11">
        <v>-6.59E-2</v>
      </c>
      <c r="U120" s="11">
        <v>-0.4</v>
      </c>
      <c r="V120" s="11">
        <v>0</v>
      </c>
      <c r="X120" t="s">
        <v>540</v>
      </c>
      <c r="Z120" s="31" t="s">
        <v>556</v>
      </c>
      <c r="AA120" s="31"/>
    </row>
    <row r="121" spans="1:27" ht="15.6" thickTop="1" thickBot="1" x14ac:dyDescent="0.35">
      <c r="A121" s="13">
        <v>8057150</v>
      </c>
      <c r="B121" s="6" t="s">
        <v>140</v>
      </c>
      <c r="C121" s="2" t="s">
        <v>479</v>
      </c>
      <c r="D121" s="23">
        <v>45120</v>
      </c>
      <c r="E121" s="25" t="s">
        <v>174</v>
      </c>
      <c r="F121" s="11">
        <v>-8.2644628099173556E-2</v>
      </c>
      <c r="G121" s="11">
        <v>-4.4444444444444446E-2</v>
      </c>
      <c r="H121" s="11">
        <v>0</v>
      </c>
      <c r="I121" s="11">
        <v>-1.1578947368421053</v>
      </c>
      <c r="J121" s="11">
        <v>-0.4</v>
      </c>
      <c r="K121" s="11">
        <v>2</v>
      </c>
      <c r="L121" s="11">
        <v>-1.2987012987012988E-2</v>
      </c>
      <c r="M121" s="11">
        <v>-2</v>
      </c>
      <c r="N121" s="11">
        <v>-0.26666666666666666</v>
      </c>
      <c r="O121" s="11">
        <v>-4.9382716049382713E-2</v>
      </c>
      <c r="P121" s="11">
        <v>1.7142857142857142</v>
      </c>
      <c r="Q121" s="11">
        <v>-0.46153846153846156</v>
      </c>
      <c r="R121" s="11">
        <v>2</v>
      </c>
      <c r="S121" s="11">
        <v>-2</v>
      </c>
      <c r="T121" s="11">
        <v>-0.4</v>
      </c>
      <c r="U121" s="11">
        <v>0</v>
      </c>
      <c r="V121" s="11">
        <v>0</v>
      </c>
    </row>
    <row r="122" spans="1:27" ht="15.6" thickTop="1" thickBot="1" x14ac:dyDescent="0.35">
      <c r="A122" s="13">
        <v>8057100</v>
      </c>
      <c r="B122" s="6" t="s">
        <v>139</v>
      </c>
      <c r="C122" s="2" t="s">
        <v>322</v>
      </c>
      <c r="D122" s="23">
        <v>45120</v>
      </c>
      <c r="E122" s="25" t="s">
        <v>177</v>
      </c>
      <c r="F122" s="11">
        <v>-0.41140529531568226</v>
      </c>
      <c r="G122" s="11">
        <v>-0.93181818181818177</v>
      </c>
      <c r="H122" s="11">
        <v>-0.15637860082304528</v>
      </c>
      <c r="I122" s="11" t="s">
        <v>13</v>
      </c>
      <c r="J122" s="11">
        <v>6.0606060606060608E-2</v>
      </c>
      <c r="K122" s="11">
        <v>-2</v>
      </c>
      <c r="L122" s="11">
        <v>-0.92571428571428571</v>
      </c>
      <c r="M122" s="11" t="s">
        <v>13</v>
      </c>
      <c r="N122" s="11">
        <v>2</v>
      </c>
      <c r="O122" s="11">
        <v>-0.16528925619834711</v>
      </c>
      <c r="P122" s="11">
        <v>-5.128205128205128E-2</v>
      </c>
      <c r="Q122" s="11" t="s">
        <v>13</v>
      </c>
      <c r="R122" s="11" t="s">
        <v>13</v>
      </c>
      <c r="S122" s="11" t="s">
        <v>13</v>
      </c>
      <c r="T122" s="11">
        <v>0.08</v>
      </c>
      <c r="U122" s="11">
        <v>0</v>
      </c>
      <c r="V122" s="11" t="s">
        <v>13</v>
      </c>
    </row>
    <row r="123" spans="1:27" ht="15.6" thickTop="1" thickBot="1" x14ac:dyDescent="0.35">
      <c r="A123" s="13">
        <v>8054800</v>
      </c>
      <c r="B123" s="6" t="s">
        <v>128</v>
      </c>
      <c r="C123" s="2" t="s">
        <v>465</v>
      </c>
      <c r="D123" s="23">
        <v>45119</v>
      </c>
      <c r="E123" s="25" t="s">
        <v>174</v>
      </c>
      <c r="F123" s="11">
        <v>-0.10583446404341927</v>
      </c>
      <c r="G123" s="11">
        <v>-4.2857142857142858E-2</v>
      </c>
      <c r="H123" s="11">
        <v>-0.12658227848101267</v>
      </c>
      <c r="I123" s="11" t="s">
        <v>13</v>
      </c>
      <c r="J123" s="11">
        <v>-0.18439716312056736</v>
      </c>
      <c r="K123" s="11">
        <v>0</v>
      </c>
      <c r="L123" s="11">
        <v>-4.9586776859504134E-2</v>
      </c>
      <c r="M123" s="11" t="s">
        <v>13</v>
      </c>
      <c r="N123" s="11" t="s">
        <v>13</v>
      </c>
      <c r="O123" s="11">
        <v>6.7796610169491523E-3</v>
      </c>
      <c r="P123" s="11">
        <v>-2</v>
      </c>
      <c r="Q123" s="11" t="s">
        <v>13</v>
      </c>
      <c r="R123" s="11" t="s">
        <v>13</v>
      </c>
      <c r="S123" s="11" t="s">
        <v>13</v>
      </c>
      <c r="T123" s="11">
        <v>-0.12244897959183673</v>
      </c>
      <c r="U123" s="11">
        <v>2</v>
      </c>
      <c r="V123" s="11">
        <v>-0.77777777777777779</v>
      </c>
    </row>
    <row r="124" spans="1:27" ht="15.6" thickTop="1" thickBot="1" x14ac:dyDescent="0.35">
      <c r="A124" s="13">
        <v>8055900</v>
      </c>
      <c r="B124" s="6" t="s">
        <v>134</v>
      </c>
      <c r="C124" s="2" t="s">
        <v>472</v>
      </c>
      <c r="D124" s="23">
        <v>45120</v>
      </c>
      <c r="E124" s="25" t="s">
        <v>177</v>
      </c>
      <c r="F124" s="11">
        <v>-0.29652996845425866</v>
      </c>
      <c r="G124" s="11">
        <v>-0.14592274678111589</v>
      </c>
      <c r="H124" s="11">
        <v>-0.4291497975708502</v>
      </c>
      <c r="I124" s="11">
        <v>-0.19607843137254902</v>
      </c>
      <c r="J124" s="11">
        <v>-0.36893203883495146</v>
      </c>
      <c r="K124" s="11">
        <v>-0.16216216216216217</v>
      </c>
      <c r="L124" s="11">
        <v>-8.4210526315789472E-2</v>
      </c>
      <c r="M124" s="11">
        <v>-2</v>
      </c>
      <c r="N124" s="11">
        <v>-0.13333333333333333</v>
      </c>
      <c r="O124" s="11">
        <v>-0.125</v>
      </c>
      <c r="P124" s="11">
        <v>-2</v>
      </c>
      <c r="Q124" s="11">
        <v>0</v>
      </c>
      <c r="R124" s="11">
        <v>0.5</v>
      </c>
      <c r="S124" s="11">
        <v>-2</v>
      </c>
      <c r="T124" s="11">
        <v>-0.14492753623188406</v>
      </c>
      <c r="U124" s="11">
        <v>0.10526315789473684</v>
      </c>
      <c r="V124" s="11">
        <v>-2</v>
      </c>
    </row>
    <row r="125" spans="1:27" ht="15.6" thickTop="1" thickBot="1" x14ac:dyDescent="0.35">
      <c r="A125" s="13">
        <v>8015400</v>
      </c>
      <c r="B125" s="6" t="s">
        <v>47</v>
      </c>
      <c r="C125" s="2" t="s">
        <v>369</v>
      </c>
      <c r="D125" s="23">
        <v>45100</v>
      </c>
      <c r="E125" s="24" t="s">
        <v>176</v>
      </c>
      <c r="F125" s="11">
        <v>-3.3300000000000003E-2</v>
      </c>
      <c r="G125" s="11">
        <v>-4.0399999999999998E-2</v>
      </c>
      <c r="H125" s="11">
        <v>5.6500000000000002E-2</v>
      </c>
      <c r="I125" s="11">
        <v>0</v>
      </c>
      <c r="J125" s="11">
        <v>5.9400000000000001E-2</v>
      </c>
      <c r="K125" s="11">
        <v>0.94440000000000002</v>
      </c>
      <c r="L125" s="11">
        <v>-0.81630000000000003</v>
      </c>
      <c r="M125" s="11">
        <v>0.1429</v>
      </c>
      <c r="N125" s="11">
        <v>0.14810000000000001</v>
      </c>
      <c r="O125" s="11">
        <v>0</v>
      </c>
      <c r="P125" s="11">
        <v>0.28570000000000001</v>
      </c>
      <c r="Q125" s="11">
        <v>-1</v>
      </c>
      <c r="R125" s="11">
        <v>0</v>
      </c>
      <c r="S125" s="11">
        <v>0.1053</v>
      </c>
      <c r="T125" s="11">
        <v>-1.0769</v>
      </c>
      <c r="U125" s="11">
        <v>0.33329999999999999</v>
      </c>
      <c r="V125" s="11">
        <v>0</v>
      </c>
    </row>
    <row r="126" spans="1:27" ht="15.6" thickTop="1" thickBot="1" x14ac:dyDescent="0.35">
      <c r="A126" s="13">
        <v>8047700</v>
      </c>
      <c r="B126" s="6" t="s">
        <v>114</v>
      </c>
      <c r="C126" s="2" t="s">
        <v>450</v>
      </c>
      <c r="D126" s="23">
        <v>45355</v>
      </c>
      <c r="E126" s="25" t="s">
        <v>176</v>
      </c>
      <c r="F126" s="11">
        <v>-5.9190031152647975E-2</v>
      </c>
      <c r="G126" s="11">
        <v>-0.64</v>
      </c>
      <c r="H126" s="11">
        <v>4.6082949308755762E-2</v>
      </c>
      <c r="I126" s="11">
        <v>4.7471620227038186E-2</v>
      </c>
      <c r="J126" s="11">
        <v>-4.2402826855123678E-2</v>
      </c>
      <c r="K126" s="11">
        <v>8.5889570552147243E-2</v>
      </c>
      <c r="L126" s="11">
        <v>-2</v>
      </c>
      <c r="M126" s="11">
        <v>-2</v>
      </c>
      <c r="N126" s="11">
        <v>0.10344827586206896</v>
      </c>
      <c r="O126" s="11">
        <v>2</v>
      </c>
      <c r="P126" s="11">
        <v>-0.04</v>
      </c>
      <c r="Q126" s="11">
        <v>-0.66666666666666663</v>
      </c>
      <c r="R126" s="11">
        <v>4.8884165781083955E-2</v>
      </c>
      <c r="S126" s="11">
        <v>0.08</v>
      </c>
      <c r="T126" s="11">
        <v>1.0050251256281407E-2</v>
      </c>
      <c r="U126" s="11">
        <v>-5.3590568060021437E-2</v>
      </c>
      <c r="V126" s="11">
        <v>0</v>
      </c>
    </row>
    <row r="127" spans="1:27" ht="15.6" thickTop="1" thickBot="1" x14ac:dyDescent="0.35">
      <c r="A127" s="13">
        <v>8009700</v>
      </c>
      <c r="B127" s="6" t="s">
        <v>42</v>
      </c>
      <c r="C127" s="2" t="s">
        <v>362</v>
      </c>
      <c r="D127" s="23">
        <v>45335</v>
      </c>
      <c r="E127" s="25" t="s">
        <v>177</v>
      </c>
      <c r="F127" s="11">
        <v>-0.67251461988304095</v>
      </c>
      <c r="G127" s="11">
        <v>-0.11764705882352941</v>
      </c>
      <c r="H127" s="11" t="s">
        <v>13</v>
      </c>
      <c r="I127" s="11">
        <v>-1.5126050420168067</v>
      </c>
      <c r="J127" s="11">
        <v>-0.24338624338624337</v>
      </c>
      <c r="K127" s="11">
        <v>0</v>
      </c>
      <c r="L127" s="11" t="s">
        <v>13</v>
      </c>
      <c r="M127" s="11">
        <v>-0.44444444444444442</v>
      </c>
      <c r="N127" s="11" t="s">
        <v>13</v>
      </c>
      <c r="O127" s="11" t="s">
        <v>13</v>
      </c>
      <c r="P127" s="11" t="s">
        <v>13</v>
      </c>
      <c r="Q127" s="11">
        <v>-1.5</v>
      </c>
      <c r="R127" s="11">
        <v>-1.5130434782608695</v>
      </c>
      <c r="S127" s="11" t="s">
        <v>13</v>
      </c>
      <c r="T127" s="11" t="s">
        <v>13</v>
      </c>
      <c r="U127" s="11">
        <v>-0.16759776536312848</v>
      </c>
      <c r="V127" s="11">
        <v>-1.6</v>
      </c>
    </row>
    <row r="128" spans="1:27" ht="15.6" thickTop="1" thickBot="1" x14ac:dyDescent="0.35">
      <c r="A128" s="13">
        <v>8004400</v>
      </c>
      <c r="B128" s="6" t="s">
        <v>32</v>
      </c>
      <c r="C128" s="2" t="s">
        <v>351</v>
      </c>
      <c r="D128" s="23">
        <v>45330</v>
      </c>
      <c r="E128" s="25" t="s">
        <v>177</v>
      </c>
      <c r="F128" s="11">
        <v>-9.0522243713733075E-2</v>
      </c>
      <c r="G128" s="11">
        <v>-6.4516129032258063E-2</v>
      </c>
      <c r="H128" s="11">
        <v>1.1661807580174927E-2</v>
      </c>
      <c r="I128" s="11">
        <v>-0.24242424242424243</v>
      </c>
      <c r="J128" s="11">
        <v>-2.5500910746812388E-2</v>
      </c>
      <c r="K128" s="11">
        <v>0.1</v>
      </c>
      <c r="L128" s="11">
        <v>-4.1791044776119404E-2</v>
      </c>
      <c r="M128" s="11">
        <v>-0.14207650273224043</v>
      </c>
      <c r="N128" s="11">
        <v>9.3264248704663211E-2</v>
      </c>
      <c r="O128" s="11">
        <v>-5.2493438320209973E-3</v>
      </c>
      <c r="P128" s="11">
        <v>-7.1428571428571425E-2</v>
      </c>
      <c r="Q128" s="11">
        <v>3.8095238095238099E-2</v>
      </c>
      <c r="R128" s="11">
        <v>6.4239828693790149E-2</v>
      </c>
      <c r="S128" s="11">
        <v>-2</v>
      </c>
      <c r="T128" s="11">
        <v>0.29629629629629628</v>
      </c>
      <c r="U128" s="11">
        <v>2.4449877750611249E-2</v>
      </c>
      <c r="V128" s="11">
        <v>-1.75</v>
      </c>
    </row>
    <row r="129" spans="1:27" ht="15.6" thickTop="1" thickBot="1" x14ac:dyDescent="0.35">
      <c r="A129" s="13">
        <v>8055000</v>
      </c>
      <c r="B129" s="6" t="s">
        <v>130</v>
      </c>
      <c r="C129" s="2" t="s">
        <v>467</v>
      </c>
      <c r="D129" s="23">
        <v>45833</v>
      </c>
      <c r="E129" s="32">
        <v>0.625</v>
      </c>
      <c r="F129" s="11">
        <v>-3.6200000000000003E-2</v>
      </c>
      <c r="G129" s="11">
        <v>-0.18179999999999999</v>
      </c>
      <c r="H129" s="11">
        <v>-6.9000000000000006E-2</v>
      </c>
      <c r="I129" s="11">
        <v>-0.11609999999999999</v>
      </c>
      <c r="J129" s="11">
        <v>4.3700000000000003E-2</v>
      </c>
      <c r="K129" s="11">
        <v>-0.22220000000000001</v>
      </c>
      <c r="L129" s="11">
        <v>0</v>
      </c>
      <c r="M129" s="11">
        <v>0</v>
      </c>
      <c r="N129" s="11">
        <v>-0.70269999999999999</v>
      </c>
      <c r="O129" s="11">
        <v>2</v>
      </c>
      <c r="P129" s="11">
        <v>-0.1053</v>
      </c>
      <c r="Q129" s="11">
        <v>0</v>
      </c>
      <c r="R129" s="11">
        <v>-0.38779999999999998</v>
      </c>
      <c r="S129" s="11">
        <v>1.8856999999999999</v>
      </c>
      <c r="T129" s="11">
        <v>0.15379999999999999</v>
      </c>
      <c r="U129" s="11">
        <v>4.1099999999999998E-2</v>
      </c>
      <c r="V129" s="11">
        <v>0</v>
      </c>
      <c r="X129" t="s">
        <v>540</v>
      </c>
      <c r="Z129" s="31" t="s">
        <v>556</v>
      </c>
      <c r="AA129" s="31"/>
    </row>
    <row r="130" spans="1:27" ht="15.6" thickTop="1" thickBot="1" x14ac:dyDescent="0.35">
      <c r="A130" s="13">
        <v>8043600</v>
      </c>
      <c r="B130" s="6" t="s">
        <v>109</v>
      </c>
      <c r="C130" s="2" t="s">
        <v>443</v>
      </c>
      <c r="D130" s="23">
        <v>45351</v>
      </c>
      <c r="E130" s="25" t="s">
        <v>177</v>
      </c>
      <c r="F130" s="11">
        <v>-0.17825020441537204</v>
      </c>
      <c r="G130" s="11">
        <v>-0.45367412140575081</v>
      </c>
      <c r="H130" s="11">
        <v>-0.94080996884735202</v>
      </c>
      <c r="I130" s="11">
        <v>-8.6355785837651119E-2</v>
      </c>
      <c r="J130" s="11">
        <v>2.0460358056265986E-2</v>
      </c>
      <c r="K130" s="11">
        <v>-8.0428954423592491E-2</v>
      </c>
      <c r="L130" s="11">
        <v>0.10526315789473684</v>
      </c>
      <c r="M130" s="11">
        <v>-1.4802259887005649</v>
      </c>
      <c r="N130" s="11">
        <v>-6.8965517241379309E-2</v>
      </c>
      <c r="O130" s="11">
        <v>4.7619047619047616E-2</v>
      </c>
      <c r="P130" s="11">
        <v>-2</v>
      </c>
      <c r="Q130" s="11">
        <v>0.3007518796992481</v>
      </c>
      <c r="R130" s="11">
        <v>-4.9875311720698253E-3</v>
      </c>
      <c r="S130" s="11">
        <v>-1.9555555555555555</v>
      </c>
      <c r="T130" s="11">
        <v>4.975124378109453E-2</v>
      </c>
      <c r="U130" s="11">
        <v>1.6574585635359115E-2</v>
      </c>
      <c r="V130" s="11">
        <v>0</v>
      </c>
    </row>
    <row r="131" spans="1:27" ht="15.6" thickTop="1" thickBot="1" x14ac:dyDescent="0.35">
      <c r="A131" s="13">
        <v>8003000</v>
      </c>
      <c r="B131" s="6" t="s">
        <v>182</v>
      </c>
      <c r="C131" s="2" t="s">
        <v>263</v>
      </c>
      <c r="D131" s="23">
        <v>45730</v>
      </c>
      <c r="E131" s="24" t="s">
        <v>527</v>
      </c>
      <c r="F131" s="35">
        <v>-0.108</v>
      </c>
      <c r="G131" s="35">
        <v>2.1399999999999999E-2</v>
      </c>
      <c r="H131" s="35">
        <v>-5.6599999999999998E-2</v>
      </c>
      <c r="I131" s="35">
        <v>-0.16039999999999999</v>
      </c>
      <c r="J131" s="35">
        <v>-0.40400000000000003</v>
      </c>
      <c r="K131" s="11">
        <v>-0.1333</v>
      </c>
      <c r="L131" s="35">
        <v>7.5899999999999995E-2</v>
      </c>
      <c r="M131" s="35">
        <v>4.2599999999999999E-2</v>
      </c>
      <c r="N131" s="35">
        <v>-2.9899999999999999E-2</v>
      </c>
      <c r="O131" s="35">
        <v>-7.4999999999999997E-3</v>
      </c>
      <c r="P131" s="35">
        <v>-0.32729999999999998</v>
      </c>
      <c r="Q131" s="35">
        <v>0</v>
      </c>
      <c r="R131" s="35">
        <v>6.9000000000000006E-2</v>
      </c>
      <c r="S131" s="35">
        <v>-1.4074</v>
      </c>
      <c r="T131" s="35">
        <v>-3.2800000000000003E-2</v>
      </c>
      <c r="U131" s="35">
        <v>-2.0199999999999999E-2</v>
      </c>
      <c r="V131" s="35">
        <v>-2</v>
      </c>
    </row>
    <row r="132" spans="1:27" ht="15.6" thickTop="1" thickBot="1" x14ac:dyDescent="0.35">
      <c r="A132" s="13">
        <v>8017000</v>
      </c>
      <c r="B132" s="6" t="s">
        <v>50</v>
      </c>
      <c r="C132" t="s">
        <v>373</v>
      </c>
      <c r="D132" s="23">
        <v>45103</v>
      </c>
      <c r="E132" s="24" t="s">
        <v>177</v>
      </c>
      <c r="F132" s="11">
        <v>-2.8E-3</v>
      </c>
      <c r="G132" s="11">
        <v>-7.1047957371225573E-2</v>
      </c>
      <c r="H132" s="11">
        <v>-0.30747531734837802</v>
      </c>
      <c r="I132" s="11">
        <v>-0.19444444444444445</v>
      </c>
      <c r="J132" s="11">
        <v>5.2631578947368418E-2</v>
      </c>
      <c r="K132" s="11">
        <v>0.12903225806451613</v>
      </c>
      <c r="L132" s="11">
        <v>-9.419496166484119E-2</v>
      </c>
      <c r="M132" s="11">
        <v>-1.3245033112582781E-2</v>
      </c>
      <c r="N132" s="11">
        <v>-9.9290780141843976E-2</v>
      </c>
      <c r="O132" s="11">
        <v>-0.34704830053667263</v>
      </c>
      <c r="P132" s="11">
        <v>-1.1111111111111112</v>
      </c>
      <c r="Q132" s="11">
        <v>8.5106382978723402E-2</v>
      </c>
      <c r="R132" s="11">
        <v>-1</v>
      </c>
      <c r="S132" s="11">
        <v>-0.66666666666666663</v>
      </c>
      <c r="T132" s="11">
        <v>0</v>
      </c>
      <c r="U132" s="11">
        <v>8.6956521739130432E-2</v>
      </c>
      <c r="V132" s="11">
        <v>4.4444444444444446E-2</v>
      </c>
    </row>
    <row r="133" spans="1:27" ht="15.6" thickTop="1" thickBot="1" x14ac:dyDescent="0.35">
      <c r="A133" s="13">
        <v>8019100</v>
      </c>
      <c r="B133" s="6" t="s">
        <v>55</v>
      </c>
      <c r="C133" s="2" t="s">
        <v>378</v>
      </c>
      <c r="D133" s="23">
        <v>45104</v>
      </c>
      <c r="E133" s="25" t="s">
        <v>176</v>
      </c>
      <c r="F133" s="11">
        <v>-2.4526198439241916E-2</v>
      </c>
      <c r="G133" s="11">
        <v>-5.5555555555555552E-2</v>
      </c>
      <c r="H133" s="11">
        <v>-6.1538461538461542E-2</v>
      </c>
      <c r="I133" s="11">
        <v>-2.9850746268656716E-2</v>
      </c>
      <c r="J133" s="11">
        <v>6.8259385665529011E-3</v>
      </c>
      <c r="K133" s="11">
        <v>-0.125</v>
      </c>
      <c r="L133" s="11">
        <v>5.4054054054054057E-2</v>
      </c>
      <c r="M133" s="11">
        <v>-0.66666666666666663</v>
      </c>
      <c r="N133" s="11">
        <v>0</v>
      </c>
      <c r="O133" s="11">
        <v>8.6956521739130432E-2</v>
      </c>
      <c r="P133" s="11">
        <v>-0.11494252873563218</v>
      </c>
      <c r="Q133" s="11">
        <v>0.66666666666666663</v>
      </c>
      <c r="R133" s="11">
        <v>-1.5584415584415584E-2</v>
      </c>
      <c r="S133" s="11">
        <v>-0.5714285714285714</v>
      </c>
      <c r="T133" s="11">
        <v>-3.2786885245901641E-2</v>
      </c>
      <c r="U133" s="11">
        <v>1.9230769230769232E-2</v>
      </c>
      <c r="V133" s="11">
        <v>0</v>
      </c>
    </row>
    <row r="134" spans="1:27" ht="15.6" thickTop="1" thickBot="1" x14ac:dyDescent="0.35">
      <c r="A134" s="13">
        <v>8009900</v>
      </c>
      <c r="B134" s="6" t="s">
        <v>187</v>
      </c>
      <c r="C134" s="2" t="s">
        <v>268</v>
      </c>
      <c r="D134" s="23">
        <v>45378</v>
      </c>
      <c r="E134" s="25" t="s">
        <v>174</v>
      </c>
      <c r="F134" s="11">
        <v>-0.16781002638522427</v>
      </c>
      <c r="G134" s="11">
        <v>-6.535947712418301E-2</v>
      </c>
      <c r="H134" s="11">
        <v>-2.5974025974025976E-2</v>
      </c>
      <c r="I134" s="11">
        <v>-0.40243902439024393</v>
      </c>
      <c r="J134" s="11">
        <v>-0.24956063268892795</v>
      </c>
      <c r="K134" s="11">
        <v>0.37037037037037035</v>
      </c>
      <c r="L134" s="11">
        <v>-8.7403598971722368E-2</v>
      </c>
      <c r="M134" s="11">
        <v>-0.13953488372093023</v>
      </c>
      <c r="N134" s="11">
        <v>0.41269841269841268</v>
      </c>
      <c r="O134" s="11">
        <v>-0.10638297872340426</v>
      </c>
      <c r="P134" s="11">
        <v>0</v>
      </c>
      <c r="Q134" s="11">
        <v>-0.77777777777777779</v>
      </c>
      <c r="R134" s="11">
        <v>-0.43265306122448982</v>
      </c>
      <c r="S134" s="11">
        <v>4.2553191489361701E-2</v>
      </c>
      <c r="T134" s="11">
        <v>-0.52631578947368418</v>
      </c>
      <c r="U134" s="11">
        <v>-0.17224880382775121</v>
      </c>
      <c r="V134" s="11">
        <v>-0.35714285714285715</v>
      </c>
    </row>
    <row r="135" spans="1:27" ht="15.6" thickTop="1" thickBot="1" x14ac:dyDescent="0.35">
      <c r="A135" s="13">
        <v>8007200</v>
      </c>
      <c r="B135" s="6" t="s">
        <v>37</v>
      </c>
      <c r="C135" s="2" t="s">
        <v>357</v>
      </c>
      <c r="D135" s="23">
        <v>45337</v>
      </c>
      <c r="E135" s="25" t="s">
        <v>177</v>
      </c>
      <c r="F135" s="11">
        <v>5.0365556458164096E-2</v>
      </c>
      <c r="G135" s="11">
        <v>0.13114754098360656</v>
      </c>
      <c r="H135" s="11">
        <v>1.2269938650306749E-2</v>
      </c>
      <c r="I135" s="11">
        <v>5.6680161943319839E-2</v>
      </c>
      <c r="J135" s="11">
        <v>-1.3698630136986301E-2</v>
      </c>
      <c r="K135" s="11">
        <v>2.5974025974025976E-2</v>
      </c>
      <c r="L135" s="11">
        <v>0.1951219512195122</v>
      </c>
      <c r="M135" s="11">
        <v>-4.6511627906976744E-2</v>
      </c>
      <c r="N135" s="11">
        <v>0</v>
      </c>
      <c r="O135" s="11">
        <v>7.326007326007326E-3</v>
      </c>
      <c r="P135" s="11">
        <v>5.4054054054054057E-2</v>
      </c>
      <c r="Q135" s="11">
        <v>-0.25</v>
      </c>
      <c r="R135" s="11">
        <v>0.11398963730569948</v>
      </c>
      <c r="S135" s="11">
        <v>0</v>
      </c>
      <c r="T135" s="11">
        <v>-9.5238095238095233E-2</v>
      </c>
      <c r="U135" s="11">
        <v>-1.092896174863388E-2</v>
      </c>
      <c r="V135" s="11">
        <v>2.9850746268656716E-2</v>
      </c>
    </row>
    <row r="136" spans="1:27" ht="15.6" thickTop="1" thickBot="1" x14ac:dyDescent="0.35">
      <c r="A136" s="13">
        <v>8049500</v>
      </c>
      <c r="B136" s="6" t="s">
        <v>225</v>
      </c>
      <c r="C136" s="2" t="s">
        <v>307</v>
      </c>
      <c r="D136" s="23">
        <v>45834</v>
      </c>
      <c r="E136" s="32">
        <v>0.32291666666666669</v>
      </c>
      <c r="F136" s="11">
        <v>-2.1299999999999999E-2</v>
      </c>
      <c r="G136" s="11">
        <v>-0.08</v>
      </c>
      <c r="H136" s="11">
        <v>0</v>
      </c>
      <c r="I136" s="11">
        <v>3.2500000000000001E-2</v>
      </c>
      <c r="J136" s="11">
        <v>-6.1400000000000003E-2</v>
      </c>
      <c r="K136" s="11">
        <v>-8.6999999999999994E-2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3.2500000000000001E-2</v>
      </c>
      <c r="S136" s="11">
        <v>0</v>
      </c>
      <c r="T136" s="11">
        <v>0</v>
      </c>
      <c r="U136" s="11">
        <v>-1.4E-2</v>
      </c>
      <c r="V136" s="11">
        <v>-2</v>
      </c>
      <c r="X136" t="s">
        <v>540</v>
      </c>
      <c r="Z136" s="31" t="s">
        <v>556</v>
      </c>
      <c r="AA136" s="31"/>
    </row>
    <row r="137" spans="1:27" ht="15.6" thickTop="1" thickBot="1" x14ac:dyDescent="0.35">
      <c r="A137" s="13">
        <v>8048800</v>
      </c>
      <c r="B137" s="6" t="s">
        <v>222</v>
      </c>
      <c r="C137" s="2" t="s">
        <v>304</v>
      </c>
      <c r="D137" s="23">
        <v>45834</v>
      </c>
      <c r="E137" s="32">
        <v>0.53125</v>
      </c>
      <c r="F137" s="11">
        <v>-0.15870000000000001</v>
      </c>
      <c r="G137" s="11">
        <v>-0.89159999999999995</v>
      </c>
      <c r="H137" s="11">
        <v>2</v>
      </c>
      <c r="I137" s="11">
        <v>-1.9199999999999998E-2</v>
      </c>
      <c r="J137" s="11">
        <v>4.0300000000000002E-2</v>
      </c>
      <c r="K137" s="11">
        <v>-6.9000000000000006E-2</v>
      </c>
      <c r="L137" s="11">
        <v>1</v>
      </c>
      <c r="M137" s="11">
        <v>-1.52</v>
      </c>
      <c r="N137" s="11">
        <v>2</v>
      </c>
      <c r="O137" s="11">
        <v>0</v>
      </c>
      <c r="P137" s="11">
        <v>0</v>
      </c>
      <c r="Q137" s="11">
        <v>5.1299999999999998E-2</v>
      </c>
      <c r="R137" s="11">
        <v>-3.6400000000000002E-2</v>
      </c>
      <c r="S137" s="11">
        <v>0</v>
      </c>
      <c r="T137" s="11">
        <v>0</v>
      </c>
      <c r="U137" s="11">
        <v>4.65E-2</v>
      </c>
      <c r="V137" s="11">
        <v>0</v>
      </c>
      <c r="X137" t="s">
        <v>540</v>
      </c>
      <c r="Z137" s="31" t="s">
        <v>556</v>
      </c>
      <c r="AA137" s="31"/>
    </row>
    <row r="138" spans="1:27" ht="15.6" thickTop="1" thickBot="1" x14ac:dyDescent="0.35">
      <c r="A138" s="13">
        <v>8048100</v>
      </c>
      <c r="B138" s="6" t="s">
        <v>218</v>
      </c>
      <c r="C138" s="2" t="s">
        <v>300</v>
      </c>
      <c r="D138" s="23">
        <v>45834</v>
      </c>
      <c r="E138" s="32">
        <v>0.625</v>
      </c>
      <c r="F138" s="11">
        <v>-7.0199999999999999E-2</v>
      </c>
      <c r="G138" s="11">
        <v>-6.0600000000000001E-2</v>
      </c>
      <c r="H138" s="11">
        <v>0</v>
      </c>
      <c r="I138" s="11">
        <v>-0.1143</v>
      </c>
      <c r="J138" s="11">
        <v>-6.3899999999999998E-2</v>
      </c>
      <c r="K138" s="11">
        <v>0</v>
      </c>
      <c r="L138" s="11">
        <v>-0.66669999999999996</v>
      </c>
      <c r="M138" s="11">
        <v>0</v>
      </c>
      <c r="N138" s="11">
        <v>0</v>
      </c>
      <c r="O138" s="11">
        <v>0</v>
      </c>
      <c r="P138" s="11">
        <v>0</v>
      </c>
      <c r="Q138" s="11">
        <v>0.66669999999999996</v>
      </c>
      <c r="R138" s="11">
        <v>-0.11940000000000001</v>
      </c>
      <c r="S138" s="11">
        <v>-0.66669999999999996</v>
      </c>
      <c r="T138" s="11">
        <v>-0.125</v>
      </c>
      <c r="U138" s="11">
        <v>-5.9200000000000003E-2</v>
      </c>
      <c r="V138" s="11">
        <v>0</v>
      </c>
      <c r="X138" t="s">
        <v>540</v>
      </c>
      <c r="Z138" s="31" t="s">
        <v>556</v>
      </c>
      <c r="AA138" s="31"/>
    </row>
    <row r="139" spans="1:27" ht="15.6" thickTop="1" thickBot="1" x14ac:dyDescent="0.35">
      <c r="A139" s="13">
        <v>8049700</v>
      </c>
      <c r="B139" s="6" t="s">
        <v>226</v>
      </c>
      <c r="C139" s="2" t="s">
        <v>308</v>
      </c>
      <c r="D139" s="23">
        <v>45835</v>
      </c>
      <c r="E139" s="32">
        <v>0.33333333333333331</v>
      </c>
      <c r="F139" s="11">
        <v>-0.16</v>
      </c>
      <c r="G139" s="11">
        <v>0</v>
      </c>
      <c r="H139" s="11">
        <v>-1.1351</v>
      </c>
      <c r="I139" s="11">
        <v>-5.5199999999999999E-2</v>
      </c>
      <c r="J139" s="11">
        <v>-7.3200000000000001E-2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-2</v>
      </c>
      <c r="Q139" s="11">
        <v>0</v>
      </c>
      <c r="R139" s="11">
        <v>-7.5200000000000003E-2</v>
      </c>
      <c r="S139" s="11">
        <v>0</v>
      </c>
      <c r="T139" s="11">
        <v>-0.21049999999999999</v>
      </c>
      <c r="U139" s="11">
        <v>-3.6400000000000002E-2</v>
      </c>
      <c r="V139" s="11">
        <v>0</v>
      </c>
      <c r="X139" t="s">
        <v>540</v>
      </c>
      <c r="Z139" s="31" t="s">
        <v>556</v>
      </c>
      <c r="AA139" s="31"/>
    </row>
    <row r="140" spans="1:27" ht="15.6" thickTop="1" thickBot="1" x14ac:dyDescent="0.35">
      <c r="A140" s="13">
        <v>8049400</v>
      </c>
      <c r="B140" s="6" t="s">
        <v>224</v>
      </c>
      <c r="C140" s="2" t="s">
        <v>306</v>
      </c>
      <c r="D140" s="23">
        <v>45835</v>
      </c>
      <c r="E140" s="32">
        <v>0.625</v>
      </c>
      <c r="F140" s="11">
        <v>-2.8199999999999999E-2</v>
      </c>
      <c r="G140" s="11">
        <v>0</v>
      </c>
      <c r="H140" s="11">
        <v>0</v>
      </c>
      <c r="I140" s="11">
        <v>-3.5499999999999997E-2</v>
      </c>
      <c r="J140" s="11">
        <v>-2.5999999999999999E-2</v>
      </c>
      <c r="K140" s="11">
        <v>0</v>
      </c>
      <c r="L140" s="11">
        <v>2</v>
      </c>
      <c r="M140" s="11">
        <v>-0.22220000000000001</v>
      </c>
      <c r="N140" s="11">
        <v>0</v>
      </c>
      <c r="O140" s="11">
        <v>0</v>
      </c>
      <c r="P140" s="11">
        <v>0</v>
      </c>
      <c r="Q140" s="11">
        <v>-0.35289999999999999</v>
      </c>
      <c r="R140" s="11">
        <v>0</v>
      </c>
      <c r="S140" s="11">
        <v>0</v>
      </c>
      <c r="T140" s="11">
        <v>0</v>
      </c>
      <c r="U140" s="11">
        <v>-1.9400000000000001E-2</v>
      </c>
      <c r="V140" s="11">
        <v>-0.1053</v>
      </c>
      <c r="X140" t="s">
        <v>540</v>
      </c>
      <c r="Z140" s="31" t="s">
        <v>556</v>
      </c>
      <c r="AA140" s="31"/>
    </row>
    <row r="141" spans="1:27" ht="15.6" thickTop="1" thickBot="1" x14ac:dyDescent="0.35">
      <c r="A141" s="13">
        <v>8038100</v>
      </c>
      <c r="B141" s="6" t="s">
        <v>212</v>
      </c>
      <c r="C141" s="2" t="s">
        <v>294</v>
      </c>
      <c r="D141" s="23">
        <v>45386</v>
      </c>
      <c r="E141" s="24" t="s">
        <v>177</v>
      </c>
      <c r="F141" s="11">
        <v>-9.6618357487922701E-3</v>
      </c>
      <c r="G141" s="11">
        <v>-0.10704225352112676</v>
      </c>
      <c r="H141" s="11">
        <v>-5.0632911392405064E-3</v>
      </c>
      <c r="I141" s="11">
        <v>-2.0283975659229209E-2</v>
      </c>
      <c r="J141" s="11">
        <v>4.8128342245989303E-2</v>
      </c>
      <c r="K141" s="11">
        <v>0</v>
      </c>
      <c r="L141" s="11">
        <v>-0.16666666666666666</v>
      </c>
      <c r="M141" s="11">
        <v>-0.13991769547325103</v>
      </c>
      <c r="N141" s="11">
        <v>-3.717472118959108E-2</v>
      </c>
      <c r="O141" s="11">
        <v>0.22222222222222221</v>
      </c>
      <c r="P141" s="11">
        <v>2.0202020202020204E-2</v>
      </c>
      <c r="Q141" s="11">
        <v>-8.294930875576037E-2</v>
      </c>
      <c r="R141" s="11">
        <v>0</v>
      </c>
      <c r="S141" s="11">
        <v>-1.0810810810810811E-2</v>
      </c>
      <c r="T141" s="11">
        <v>4.0816326530612242E-2</v>
      </c>
      <c r="U141" s="11">
        <v>5.2631578947368418E-2</v>
      </c>
      <c r="V141" s="11">
        <v>0</v>
      </c>
    </row>
    <row r="142" spans="1:27" ht="15.6" thickTop="1" thickBot="1" x14ac:dyDescent="0.35">
      <c r="A142" s="13">
        <v>8050900</v>
      </c>
      <c r="B142" s="6" t="s">
        <v>228</v>
      </c>
      <c r="C142" s="2" t="s">
        <v>310</v>
      </c>
      <c r="D142" s="23">
        <v>45828</v>
      </c>
      <c r="E142" s="32">
        <v>0.53125</v>
      </c>
      <c r="F142" s="11">
        <v>-0.1182</v>
      </c>
      <c r="G142" s="11">
        <v>-4.1700000000000001E-2</v>
      </c>
      <c r="H142" s="11">
        <v>-0.14710000000000001</v>
      </c>
      <c r="I142" s="11">
        <v>-7.4099999999999999E-2</v>
      </c>
      <c r="J142" s="11">
        <v>-0.48280000000000001</v>
      </c>
      <c r="K142" s="11">
        <v>0</v>
      </c>
      <c r="L142" s="11">
        <v>-0.13950000000000001</v>
      </c>
      <c r="M142" s="11">
        <v>3.9199999999999999E-2</v>
      </c>
      <c r="N142" s="11">
        <v>-0.16669999999999999</v>
      </c>
      <c r="O142" s="11">
        <v>-0.18179999999999999</v>
      </c>
      <c r="P142" s="11">
        <v>0.28570000000000001</v>
      </c>
      <c r="Q142" s="11">
        <v>0.60870000000000002</v>
      </c>
      <c r="R142" s="11">
        <v>-2</v>
      </c>
      <c r="S142" s="11">
        <v>-4.0800000000000003E-2</v>
      </c>
      <c r="T142" s="11">
        <v>-1.5</v>
      </c>
      <c r="U142" s="11">
        <v>-9.5200000000000007E-2</v>
      </c>
      <c r="V142" s="11">
        <v>0</v>
      </c>
      <c r="X142" t="s">
        <v>540</v>
      </c>
      <c r="Z142" s="31" t="s">
        <v>556</v>
      </c>
      <c r="AA142" s="31"/>
    </row>
    <row r="143" spans="1:27" ht="15.6" thickTop="1" thickBot="1" x14ac:dyDescent="0.35">
      <c r="A143" s="13">
        <v>8057700</v>
      </c>
      <c r="B143" s="6" t="s">
        <v>240</v>
      </c>
      <c r="C143" s="2" t="s">
        <v>323</v>
      </c>
      <c r="D143" s="23">
        <v>45838</v>
      </c>
      <c r="E143" s="32">
        <v>0.625</v>
      </c>
      <c r="F143" s="11">
        <v>-6.0600000000000001E-2</v>
      </c>
      <c r="G143" s="11">
        <v>-0.1235</v>
      </c>
      <c r="H143" s="11">
        <v>-0.2286</v>
      </c>
      <c r="I143" s="11">
        <v>-3.39E-2</v>
      </c>
      <c r="J143" s="11">
        <v>-8.6E-3</v>
      </c>
      <c r="K143" s="11">
        <v>-0.1714</v>
      </c>
      <c r="L143" s="11">
        <v>0</v>
      </c>
      <c r="M143" s="11">
        <v>-0.15379999999999999</v>
      </c>
      <c r="N143" s="11">
        <v>-0.57140000000000002</v>
      </c>
      <c r="O143" s="11">
        <v>-0.1</v>
      </c>
      <c r="P143" s="11">
        <v>-0.25</v>
      </c>
      <c r="Q143" s="11">
        <v>0</v>
      </c>
      <c r="R143" s="11">
        <v>-6.6199999999999995E-2</v>
      </c>
      <c r="S143" s="11">
        <v>0.22220000000000001</v>
      </c>
      <c r="T143" s="11">
        <v>0.1053</v>
      </c>
      <c r="U143" s="11">
        <v>-3.6400000000000002E-2</v>
      </c>
      <c r="V143" s="11">
        <v>4.0800000000000003E-2</v>
      </c>
      <c r="X143" t="s">
        <v>540</v>
      </c>
      <c r="Z143" s="31" t="s">
        <v>556</v>
      </c>
      <c r="AA143" s="31"/>
    </row>
    <row r="144" spans="1:27" ht="15.6" thickTop="1" thickBot="1" x14ac:dyDescent="0.35">
      <c r="A144" s="13">
        <v>8004800</v>
      </c>
      <c r="B144" s="6" t="s">
        <v>33</v>
      </c>
      <c r="C144" s="2" t="s">
        <v>352</v>
      </c>
      <c r="D144" s="23">
        <v>45100</v>
      </c>
      <c r="E144" s="25" t="s">
        <v>176</v>
      </c>
      <c r="F144" s="11">
        <v>-5.5384615384615386E-2</v>
      </c>
      <c r="G144" s="11">
        <v>-0.14285714285714285</v>
      </c>
      <c r="H144" s="11">
        <v>3.7037037037037035E-2</v>
      </c>
      <c r="I144" s="11">
        <v>-7.5949367088607597E-2</v>
      </c>
      <c r="J144" s="11">
        <v>0</v>
      </c>
      <c r="K144" s="11">
        <v>-7.8431372549019607E-2</v>
      </c>
      <c r="L144" s="11">
        <v>0</v>
      </c>
      <c r="M144" s="11">
        <v>-2</v>
      </c>
      <c r="N144" s="11">
        <v>5.4054054054054057E-2</v>
      </c>
      <c r="O144" s="11">
        <v>0</v>
      </c>
      <c r="P144" s="11">
        <v>5.4054054054054057E-2</v>
      </c>
      <c r="Q144" s="11">
        <v>-6.8965517241379309E-2</v>
      </c>
      <c r="R144" s="11">
        <v>2.1505376344086023E-2</v>
      </c>
      <c r="S144" s="11">
        <v>-0.33333333333333331</v>
      </c>
      <c r="T144" s="11">
        <v>-6.4516129032258063E-2</v>
      </c>
      <c r="U144" s="11">
        <v>-4.6511627906976744E-2</v>
      </c>
      <c r="V144" s="11">
        <v>8.4507042253521125E-2</v>
      </c>
    </row>
    <row r="145" spans="1:25" ht="15.6" thickTop="1" thickBot="1" x14ac:dyDescent="0.35">
      <c r="A145" s="13">
        <v>8020600</v>
      </c>
      <c r="B145" s="6" t="s">
        <v>57</v>
      </c>
      <c r="C145" s="2" t="s">
        <v>380</v>
      </c>
      <c r="D145" s="23">
        <v>45105</v>
      </c>
      <c r="E145" s="25" t="s">
        <v>177</v>
      </c>
      <c r="F145" s="11">
        <v>-0.24592592592592594</v>
      </c>
      <c r="G145" s="11">
        <v>-0.25270758122743681</v>
      </c>
      <c r="H145" s="11">
        <v>-0.13333333333333333</v>
      </c>
      <c r="I145" s="11" t="s">
        <v>13</v>
      </c>
      <c r="J145" s="11">
        <v>-0.43356643356643354</v>
      </c>
      <c r="K145" s="11">
        <v>-0.56603773584905659</v>
      </c>
      <c r="L145" s="11">
        <v>-0.18834080717488788</v>
      </c>
      <c r="M145" s="11">
        <v>2</v>
      </c>
      <c r="N145" s="11" t="s">
        <v>13</v>
      </c>
      <c r="O145" s="11">
        <v>2.1052631578947368E-2</v>
      </c>
      <c r="P145" s="11">
        <v>-0.58461538461538465</v>
      </c>
      <c r="Q145" s="11" t="s">
        <v>13</v>
      </c>
      <c r="R145" s="11" t="s">
        <v>13</v>
      </c>
      <c r="S145" s="11" t="s">
        <v>13</v>
      </c>
      <c r="T145" s="11">
        <v>-0.86956521739130432</v>
      </c>
      <c r="U145" s="11" t="s">
        <v>13</v>
      </c>
      <c r="V145" s="11">
        <v>-0.22680412371134021</v>
      </c>
    </row>
    <row r="146" spans="1:25" ht="15.6" thickTop="1" thickBot="1" x14ac:dyDescent="0.35">
      <c r="A146" s="13">
        <v>8042500</v>
      </c>
      <c r="B146" s="6" t="s">
        <v>107</v>
      </c>
      <c r="C146" s="2" t="s">
        <v>440</v>
      </c>
      <c r="D146" s="23">
        <v>45106</v>
      </c>
      <c r="E146" s="25" t="s">
        <v>174</v>
      </c>
      <c r="F146" s="11">
        <v>-0.10094637223974763</v>
      </c>
      <c r="G146" s="11">
        <v>-0.21359223300970873</v>
      </c>
      <c r="H146" s="11">
        <v>-7.7419354838709681E-2</v>
      </c>
      <c r="I146" s="11">
        <v>3.3898305084745763E-2</v>
      </c>
      <c r="J146" s="11" t="s">
        <v>13</v>
      </c>
      <c r="K146" s="11">
        <v>2</v>
      </c>
      <c r="L146" s="11">
        <v>-0.36257309941520466</v>
      </c>
      <c r="M146" s="11">
        <v>-0.16666666666666666</v>
      </c>
      <c r="N146" s="11">
        <v>-0.22857142857142856</v>
      </c>
      <c r="O146" s="11">
        <v>-3.3333333333333333E-2</v>
      </c>
      <c r="P146" s="11" t="s">
        <v>13</v>
      </c>
      <c r="Q146" s="11">
        <v>3.1746031746031744E-2</v>
      </c>
      <c r="R146" s="11" t="s">
        <v>13</v>
      </c>
      <c r="S146" s="11">
        <v>3.6363636363636362E-2</v>
      </c>
      <c r="T146" s="11" t="s">
        <v>13</v>
      </c>
      <c r="U146" s="11" t="s">
        <v>13</v>
      </c>
      <c r="V146" s="11" t="s">
        <v>13</v>
      </c>
    </row>
    <row r="147" spans="1:25" ht="15.6" thickTop="1" thickBot="1" x14ac:dyDescent="0.35">
      <c r="A147" s="13">
        <v>8028800</v>
      </c>
      <c r="B147" s="6" t="s">
        <v>82</v>
      </c>
      <c r="C147" s="2" t="s">
        <v>410</v>
      </c>
      <c r="D147" s="23">
        <v>45114</v>
      </c>
      <c r="E147" s="25" t="s">
        <v>176</v>
      </c>
      <c r="F147" s="11">
        <v>-0.16666666666666666</v>
      </c>
      <c r="G147" s="11">
        <v>-0.39316239316239315</v>
      </c>
      <c r="H147" s="11">
        <v>5.2631578947368418E-2</v>
      </c>
      <c r="I147" s="11">
        <v>-2.8169014084507043E-2</v>
      </c>
      <c r="J147" s="11">
        <v>0</v>
      </c>
      <c r="K147" s="11">
        <v>0</v>
      </c>
      <c r="L147" s="11">
        <v>7.0588235294117646E-2</v>
      </c>
      <c r="M147" s="11">
        <v>-1.7333333333333334</v>
      </c>
      <c r="N147" s="11">
        <v>-0.4</v>
      </c>
      <c r="O147" s="11">
        <v>8.4507042253521125E-2</v>
      </c>
      <c r="P147" s="11">
        <v>0</v>
      </c>
      <c r="Q147" s="11">
        <v>3.6363636363636362E-2</v>
      </c>
      <c r="R147" s="11">
        <v>0</v>
      </c>
      <c r="S147" s="11">
        <v>-0.25</v>
      </c>
      <c r="T147" s="11">
        <v>0</v>
      </c>
      <c r="U147" s="11">
        <v>0</v>
      </c>
      <c r="V147" s="11">
        <v>0</v>
      </c>
    </row>
    <row r="148" spans="1:25" ht="15.6" thickTop="1" thickBot="1" x14ac:dyDescent="0.35">
      <c r="A148" s="13">
        <v>8023800</v>
      </c>
      <c r="B148" s="6" t="s">
        <v>64</v>
      </c>
      <c r="C148" s="2" t="s">
        <v>387</v>
      </c>
      <c r="D148" s="23">
        <v>45105</v>
      </c>
      <c r="E148" s="25" t="s">
        <v>174</v>
      </c>
      <c r="F148" s="11">
        <v>-0.5390625</v>
      </c>
      <c r="G148" s="11">
        <v>-0.19289340101522842</v>
      </c>
      <c r="H148" s="11">
        <v>-0.36734693877551022</v>
      </c>
      <c r="I148" s="11" t="s">
        <v>13</v>
      </c>
      <c r="J148" s="11">
        <v>-1.0952380952380953</v>
      </c>
      <c r="K148" s="11">
        <v>-0.54117647058823526</v>
      </c>
      <c r="L148" s="11">
        <v>7.1428571428571425E-2</v>
      </c>
      <c r="M148" s="11" t="s">
        <v>13</v>
      </c>
      <c r="N148" s="11" t="s">
        <v>13</v>
      </c>
      <c r="O148" s="11">
        <v>2.1505376344086023E-2</v>
      </c>
      <c r="P148" s="11">
        <v>-1.037037037037037</v>
      </c>
      <c r="Q148" s="11" t="s">
        <v>13</v>
      </c>
      <c r="R148" s="11" t="s">
        <v>13</v>
      </c>
      <c r="S148" s="11" t="s">
        <v>13</v>
      </c>
      <c r="T148" s="11">
        <v>-2.9850746268656716E-2</v>
      </c>
      <c r="U148" s="11">
        <v>2</v>
      </c>
      <c r="V148" s="11">
        <v>-1.84</v>
      </c>
    </row>
    <row r="149" spans="1:25" ht="15" customHeight="1" thickTop="1" thickBot="1" x14ac:dyDescent="0.35">
      <c r="A149" s="13">
        <v>8052800</v>
      </c>
      <c r="B149" s="6" t="s">
        <v>235</v>
      </c>
      <c r="C149" s="2" t="s">
        <v>317</v>
      </c>
      <c r="D149" s="45" t="s">
        <v>13</v>
      </c>
      <c r="E149" s="45" t="s">
        <v>13</v>
      </c>
      <c r="X149" s="44" t="s">
        <v>559</v>
      </c>
      <c r="Y149" s="44"/>
    </row>
    <row r="150" spans="1:25" ht="15.6" thickTop="1" thickBot="1" x14ac:dyDescent="0.35">
      <c r="A150" s="13">
        <v>8001200</v>
      </c>
      <c r="B150" s="6" t="s">
        <v>3</v>
      </c>
      <c r="C150" s="2" t="s">
        <v>347</v>
      </c>
      <c r="D150" s="23">
        <v>45100</v>
      </c>
      <c r="E150" s="24" t="s">
        <v>176</v>
      </c>
      <c r="F150" s="11">
        <v>-4.8500555349870418E-2</v>
      </c>
      <c r="G150" s="11">
        <v>-5.6338028169014088E-3</v>
      </c>
      <c r="H150" s="11">
        <v>-5.4968287526427059E-2</v>
      </c>
      <c r="I150" s="11">
        <v>-6.8796068796068796E-2</v>
      </c>
      <c r="J150" s="11">
        <v>-0.13562231759656651</v>
      </c>
      <c r="K150" s="11">
        <v>-0.26737967914438504</v>
      </c>
      <c r="L150" s="11">
        <v>5.0251256281407038E-2</v>
      </c>
      <c r="M150" s="11">
        <v>4.878048780487805E-2</v>
      </c>
      <c r="N150" s="11">
        <v>-0.23076923076923078</v>
      </c>
      <c r="O150" s="11">
        <v>2.0618556701030927E-2</v>
      </c>
      <c r="P150" s="11">
        <v>-0.16666666666666666</v>
      </c>
      <c r="Q150" s="11">
        <v>-0.21468926553672316</v>
      </c>
      <c r="R150" s="11">
        <v>-1.0968921389396709E-2</v>
      </c>
      <c r="S150" s="11">
        <v>-0.13333333333333333</v>
      </c>
      <c r="T150" s="11">
        <v>-0.30598669623059865</v>
      </c>
      <c r="U150" s="11">
        <v>-1.2958963282937365E-2</v>
      </c>
      <c r="V150" s="11">
        <v>-5.5776892430278883E-2</v>
      </c>
    </row>
    <row r="151" spans="1:25" ht="15.6" thickTop="1" thickBot="1" x14ac:dyDescent="0.35">
      <c r="A151" s="13">
        <v>8005400</v>
      </c>
      <c r="B151" s="6" t="s">
        <v>20</v>
      </c>
      <c r="C151" s="2" t="s">
        <v>354</v>
      </c>
      <c r="D151" s="23">
        <v>45100</v>
      </c>
      <c r="E151" s="24" t="s">
        <v>174</v>
      </c>
      <c r="F151" s="11">
        <v>-0.15277374382805692</v>
      </c>
      <c r="G151" s="11">
        <v>-2.1987686895338612E-2</v>
      </c>
      <c r="H151" s="11">
        <v>-0.11712707182320442</v>
      </c>
      <c r="I151" s="11">
        <v>-1.7543859649122806E-2</v>
      </c>
      <c r="J151" s="11">
        <v>1.8927444794952682E-2</v>
      </c>
      <c r="K151" s="11">
        <v>-6.6666666666666666E-2</v>
      </c>
      <c r="L151" s="11">
        <v>-1.0940919037199124E-3</v>
      </c>
      <c r="M151" s="11">
        <v>-0.11398963730569948</v>
      </c>
      <c r="N151" s="11">
        <v>-7.8125E-3</v>
      </c>
      <c r="O151" s="11">
        <v>-5.1671732522796353E-2</v>
      </c>
      <c r="P151" s="11">
        <v>-0.59663865546218486</v>
      </c>
      <c r="Q151" s="11">
        <v>-5.5555555555555552E-2</v>
      </c>
      <c r="R151" s="11">
        <v>-0.23404255319148937</v>
      </c>
      <c r="S151" s="11">
        <v>0.18852459016393441</v>
      </c>
      <c r="T151" s="11">
        <v>-1.9108280254777069E-2</v>
      </c>
      <c r="U151" s="11">
        <v>0.11475409836065574</v>
      </c>
      <c r="V151" s="11">
        <v>-0.13157894736842105</v>
      </c>
    </row>
    <row r="152" spans="1:25" ht="15.6" thickTop="1" thickBot="1" x14ac:dyDescent="0.35">
      <c r="A152" s="13">
        <v>8045200</v>
      </c>
      <c r="B152" s="6" t="s">
        <v>111</v>
      </c>
      <c r="C152" s="2" t="s">
        <v>446</v>
      </c>
      <c r="D152" s="23">
        <v>45110</v>
      </c>
      <c r="E152" s="25" t="s">
        <v>176</v>
      </c>
      <c r="F152" s="11">
        <v>-2.575107296137339E-2</v>
      </c>
      <c r="G152" s="11">
        <v>-5.5865921787709494E-2</v>
      </c>
      <c r="H152" s="11">
        <v>-4.784688995215311E-2</v>
      </c>
      <c r="I152" s="11" t="s">
        <v>13</v>
      </c>
      <c r="J152" s="11">
        <v>0.10256410256410256</v>
      </c>
      <c r="K152" s="11">
        <v>0</v>
      </c>
      <c r="L152" s="11">
        <v>-8.6956521739130432E-2</v>
      </c>
      <c r="M152" s="11" t="s">
        <v>13</v>
      </c>
      <c r="N152" s="11">
        <v>2</v>
      </c>
      <c r="O152" s="11">
        <v>-0.39393939393939392</v>
      </c>
      <c r="P152" s="11">
        <v>-0.11320754716981132</v>
      </c>
      <c r="Q152" s="11" t="s">
        <v>13</v>
      </c>
      <c r="R152" s="11" t="s">
        <v>13</v>
      </c>
      <c r="S152" s="11" t="s">
        <v>13</v>
      </c>
      <c r="T152" s="11">
        <v>0.22222222222222221</v>
      </c>
      <c r="U152" s="11" t="s">
        <v>13</v>
      </c>
      <c r="V152" s="11">
        <v>6.6666666666666666E-2</v>
      </c>
    </row>
    <row r="153" spans="1:25" ht="15.6" thickTop="1" thickBot="1" x14ac:dyDescent="0.35">
      <c r="A153" s="13">
        <v>8001100</v>
      </c>
      <c r="B153" s="6" t="s">
        <v>21</v>
      </c>
      <c r="C153" s="2" t="s">
        <v>346</v>
      </c>
      <c r="D153" s="23">
        <v>45105</v>
      </c>
      <c r="E153" s="24" t="s">
        <v>174</v>
      </c>
      <c r="F153" s="11">
        <v>-6.3651591289782247E-2</v>
      </c>
      <c r="G153" s="11">
        <v>-5.0847457627118647E-2</v>
      </c>
      <c r="H153" s="11">
        <v>-3.8834951456310676E-2</v>
      </c>
      <c r="I153" s="11">
        <v>-4.4692737430167599E-2</v>
      </c>
      <c r="J153" s="11">
        <v>-2.553191489361702E-2</v>
      </c>
      <c r="K153" s="11">
        <v>2.197802197802198E-2</v>
      </c>
      <c r="L153" s="11">
        <v>3.4013605442176874E-2</v>
      </c>
      <c r="M153" s="11">
        <v>-2</v>
      </c>
      <c r="N153" s="11">
        <v>-2.6315789473684209E-2</v>
      </c>
      <c r="O153" s="11">
        <v>8.8888888888888892E-2</v>
      </c>
      <c r="P153" s="11">
        <v>-2</v>
      </c>
      <c r="Q153" s="11">
        <v>-5.7142857142857141E-2</v>
      </c>
      <c r="R153" s="11">
        <v>-0.14173228346456693</v>
      </c>
      <c r="S153" s="11">
        <v>2.0408163265306121E-2</v>
      </c>
      <c r="T153" s="11">
        <v>0.1276595744680851</v>
      </c>
      <c r="U153" s="11">
        <v>7.407407407407407E-2</v>
      </c>
      <c r="V153" s="11">
        <v>-0.41509433962264153</v>
      </c>
    </row>
    <row r="154" spans="1:25" ht="15.6" thickTop="1" thickBot="1" x14ac:dyDescent="0.35">
      <c r="A154" s="13">
        <v>8001000</v>
      </c>
      <c r="B154" s="6" t="s">
        <v>22</v>
      </c>
      <c r="C154" s="2" t="s">
        <v>345</v>
      </c>
      <c r="D154" s="23">
        <v>45100</v>
      </c>
      <c r="E154" s="24" t="s">
        <v>174</v>
      </c>
      <c r="F154" s="11">
        <v>-6.1978877153974432E-2</v>
      </c>
      <c r="G154" s="11">
        <v>-6.1456752655538696E-2</v>
      </c>
      <c r="H154" s="11">
        <v>-2.0475561426684281E-2</v>
      </c>
      <c r="I154" s="11">
        <v>-0.14490861618798956</v>
      </c>
      <c r="J154" s="11" t="s">
        <v>13</v>
      </c>
      <c r="K154" s="11">
        <v>-2.9585798816568046E-2</v>
      </c>
      <c r="L154" s="11">
        <v>-9.7181729834791061E-3</v>
      </c>
      <c r="M154" s="11">
        <v>-0.55000000000000004</v>
      </c>
      <c r="N154" s="11">
        <v>-0.16544117647058823</v>
      </c>
      <c r="O154" s="11">
        <v>5.6338028169014086E-2</v>
      </c>
      <c r="P154" s="11">
        <v>-0.25988700564971751</v>
      </c>
      <c r="Q154" s="11">
        <v>-4.2682926829268296E-2</v>
      </c>
      <c r="R154" s="11">
        <v>-0.24652777777777779</v>
      </c>
      <c r="S154" s="11">
        <v>-0.10509554140127389</v>
      </c>
      <c r="T154" s="11" t="s">
        <v>13</v>
      </c>
      <c r="U154" s="11" t="s">
        <v>13</v>
      </c>
      <c r="V154" s="11" t="s">
        <v>13</v>
      </c>
    </row>
    <row r="155" spans="1:25" ht="15.6" thickTop="1" thickBot="1" x14ac:dyDescent="0.35">
      <c r="A155" s="13">
        <v>8019700</v>
      </c>
      <c r="B155" s="6" t="s">
        <v>56</v>
      </c>
      <c r="C155" s="2" t="s">
        <v>379</v>
      </c>
      <c r="D155" s="23">
        <v>45118</v>
      </c>
      <c r="E155" s="25" t="s">
        <v>174</v>
      </c>
      <c r="F155" s="11">
        <v>-0.23306233062330622</v>
      </c>
      <c r="G155" s="11">
        <v>-1.8691588785046728E-2</v>
      </c>
      <c r="H155" s="11">
        <v>-7.0080862533692723E-2</v>
      </c>
      <c r="I155" s="11">
        <v>-1.2452830188679245</v>
      </c>
      <c r="J155" s="11">
        <v>-0.21276595744680851</v>
      </c>
      <c r="K155" s="11">
        <v>0.15384615384615385</v>
      </c>
      <c r="L155" s="11">
        <v>-3.2432432432432434E-2</v>
      </c>
      <c r="M155" s="11">
        <v>0</v>
      </c>
      <c r="N155" s="11">
        <v>-0.11538461538461539</v>
      </c>
      <c r="O155" s="11">
        <v>-2.2813688212927757E-2</v>
      </c>
      <c r="P155" s="11">
        <v>-2</v>
      </c>
      <c r="Q155" s="11">
        <v>0.20689655172413793</v>
      </c>
      <c r="R155" s="11">
        <v>0</v>
      </c>
      <c r="S155" s="11">
        <v>-2</v>
      </c>
      <c r="T155" s="11">
        <v>-0.2857142857142857</v>
      </c>
      <c r="U155" s="11">
        <v>-0.22222222222222221</v>
      </c>
      <c r="V155" s="11">
        <v>0</v>
      </c>
    </row>
    <row r="156" spans="1:25" ht="15.6" thickTop="1" thickBot="1" x14ac:dyDescent="0.35">
      <c r="A156" s="13">
        <v>8003600</v>
      </c>
      <c r="B156" s="6" t="s">
        <v>183</v>
      </c>
      <c r="C156" s="2" t="s">
        <v>264</v>
      </c>
      <c r="D156" s="23">
        <v>45378</v>
      </c>
      <c r="E156" s="25" t="s">
        <v>177</v>
      </c>
      <c r="F156" s="11">
        <v>-7.0785842831433715E-2</v>
      </c>
      <c r="G156" s="11">
        <v>-0.4</v>
      </c>
      <c r="H156" s="11" t="s">
        <v>13</v>
      </c>
      <c r="I156" s="11">
        <v>0</v>
      </c>
      <c r="J156" s="11">
        <v>-4.5033112582781455E-2</v>
      </c>
      <c r="K156" s="11">
        <v>-0.30769230769230771</v>
      </c>
      <c r="L156" s="11" t="s">
        <v>13</v>
      </c>
      <c r="M156" s="11">
        <v>-0.66666666666666663</v>
      </c>
      <c r="N156" s="11" t="s">
        <v>13</v>
      </c>
      <c r="O156" s="11" t="s">
        <v>13</v>
      </c>
      <c r="P156" s="11" t="s">
        <v>13</v>
      </c>
      <c r="Q156" s="11">
        <v>3.9215686274509803E-2</v>
      </c>
      <c r="R156" s="11">
        <v>3.1645569620253167E-2</v>
      </c>
      <c r="S156" s="11">
        <v>-1.1578947368421053</v>
      </c>
      <c r="T156" s="11">
        <v>-1.4074074074074074</v>
      </c>
      <c r="U156" s="11">
        <v>0</v>
      </c>
      <c r="V156" s="11">
        <v>3.3333333333333333E-2</v>
      </c>
    </row>
    <row r="157" spans="1:25" ht="15.6" thickTop="1" thickBot="1" x14ac:dyDescent="0.35">
      <c r="A157" s="13">
        <v>8018900</v>
      </c>
      <c r="B157" s="6" t="s">
        <v>54</v>
      </c>
      <c r="C157" s="2" t="s">
        <v>377</v>
      </c>
      <c r="D157" s="23">
        <v>45335</v>
      </c>
      <c r="E157" s="25" t="s">
        <v>177</v>
      </c>
      <c r="F157" s="11">
        <v>-9.6980786825251603E-2</v>
      </c>
      <c r="G157" s="11">
        <v>-0.19263456090651557</v>
      </c>
      <c r="H157" s="11">
        <v>4.0540540540540543E-2</v>
      </c>
      <c r="I157" s="11">
        <v>-0.32531824611032534</v>
      </c>
      <c r="J157" s="11">
        <v>1.2269938650306749E-2</v>
      </c>
      <c r="K157" s="11">
        <v>3.8095238095238099E-2</v>
      </c>
      <c r="L157" s="11">
        <v>3.8834951456310676E-2</v>
      </c>
      <c r="M157" s="11">
        <v>-1.9047619047619047</v>
      </c>
      <c r="N157" s="11">
        <v>2.3529411764705882E-2</v>
      </c>
      <c r="O157" s="11">
        <v>0.30283911671924291</v>
      </c>
      <c r="P157" s="11">
        <v>-1.9047619047619047</v>
      </c>
      <c r="Q157" s="11">
        <v>-7.874015748031496E-2</v>
      </c>
      <c r="R157" s="11">
        <v>-0.19047619047619047</v>
      </c>
      <c r="S157" s="11">
        <v>-1.631578947368421</v>
      </c>
      <c r="T157" s="11">
        <v>0</v>
      </c>
      <c r="U157" s="11">
        <v>0.26542056074766357</v>
      </c>
      <c r="V157" s="11">
        <v>-0.38348082595870209</v>
      </c>
    </row>
    <row r="158" spans="1:25" ht="15.6" thickTop="1" thickBot="1" x14ac:dyDescent="0.35">
      <c r="A158" s="13">
        <v>8013000</v>
      </c>
      <c r="B158" s="6" t="s">
        <v>45</v>
      </c>
      <c r="C158" s="2" t="s">
        <v>365</v>
      </c>
      <c r="D158" s="23">
        <v>44976</v>
      </c>
      <c r="E158" s="25" t="s">
        <v>177</v>
      </c>
      <c r="F158" s="11">
        <v>-0.18181818181818182</v>
      </c>
      <c r="G158" s="11">
        <v>-0.14965986394557823</v>
      </c>
      <c r="H158" s="11">
        <v>-0.2153846153846154</v>
      </c>
      <c r="I158" s="11">
        <v>-0.10101010101010101</v>
      </c>
      <c r="J158" s="11">
        <v>-0.27809523809523812</v>
      </c>
      <c r="K158" s="11">
        <v>-2.8985507246376812E-2</v>
      </c>
      <c r="L158" s="11">
        <v>6.0606060606060608E-2</v>
      </c>
      <c r="M158" s="11">
        <v>-2</v>
      </c>
      <c r="N158" s="11">
        <v>0</v>
      </c>
      <c r="O158" s="11">
        <v>0.15384615384615385</v>
      </c>
      <c r="P158" s="11">
        <v>-1</v>
      </c>
      <c r="Q158" s="11">
        <v>-0.2</v>
      </c>
      <c r="R158" s="11">
        <v>-9.5575221238938052E-2</v>
      </c>
      <c r="S158" s="11">
        <v>-0.22222222222222221</v>
      </c>
      <c r="T158" s="11">
        <v>0</v>
      </c>
      <c r="U158" s="11">
        <v>-0.27718550106609807</v>
      </c>
      <c r="V158" s="11">
        <v>-0.42105263157894735</v>
      </c>
    </row>
    <row r="159" spans="1:25" ht="15.6" thickTop="1" thickBot="1" x14ac:dyDescent="0.35">
      <c r="A159" s="13">
        <v>8021900</v>
      </c>
      <c r="B159" s="6" t="s">
        <v>59</v>
      </c>
      <c r="C159" s="2" t="s">
        <v>382</v>
      </c>
      <c r="D159" s="23">
        <v>45740</v>
      </c>
      <c r="E159" s="32">
        <v>0.53125</v>
      </c>
      <c r="F159" s="11">
        <v>-0.1206</v>
      </c>
      <c r="G159" s="11">
        <v>0</v>
      </c>
      <c r="H159" s="11">
        <v>-0.15379999999999999</v>
      </c>
      <c r="I159" s="11">
        <v>-1.34E-2</v>
      </c>
      <c r="J159" s="11">
        <v>-0.2482</v>
      </c>
      <c r="K159" s="11">
        <v>0</v>
      </c>
      <c r="L159" s="11">
        <v>0</v>
      </c>
      <c r="M159" s="11">
        <v>0</v>
      </c>
      <c r="N159" s="11">
        <v>0</v>
      </c>
      <c r="O159" s="11">
        <v>0</v>
      </c>
      <c r="P159" s="11">
        <v>-0.66669999999999996</v>
      </c>
      <c r="Q159" s="11">
        <v>-0.66669999999999996</v>
      </c>
      <c r="R159" s="11">
        <v>0</v>
      </c>
      <c r="S159" s="11">
        <v>0</v>
      </c>
      <c r="T159" s="11">
        <v>-0.28570000000000001</v>
      </c>
      <c r="U159" s="11">
        <v>-0.1176</v>
      </c>
      <c r="V159" s="11">
        <v>-1.6364000000000001</v>
      </c>
    </row>
    <row r="160" spans="1:25" ht="15.6" thickTop="1" thickBot="1" x14ac:dyDescent="0.35">
      <c r="A160" s="13">
        <v>8007400</v>
      </c>
      <c r="B160" s="6" t="s">
        <v>38</v>
      </c>
      <c r="C160" s="2" t="s">
        <v>358</v>
      </c>
      <c r="D160" s="23">
        <v>45330</v>
      </c>
      <c r="E160" s="25" t="s">
        <v>177</v>
      </c>
      <c r="F160" s="11">
        <v>-0.16578483245149911</v>
      </c>
      <c r="G160" s="11">
        <v>-0.17371937639198218</v>
      </c>
      <c r="H160" s="11">
        <v>-0.1893491124260355</v>
      </c>
      <c r="I160" s="11">
        <v>-0.11290322580645161</v>
      </c>
      <c r="J160" s="11">
        <v>-0.20095693779904306</v>
      </c>
      <c r="K160" s="11">
        <v>-0.13698630136986301</v>
      </c>
      <c r="L160" s="11">
        <v>-6.7796610169491523E-3</v>
      </c>
      <c r="M160" s="11">
        <v>-0.81481481481481477</v>
      </c>
      <c r="N160" s="11">
        <v>-0.12244897959183673</v>
      </c>
      <c r="O160" s="11">
        <v>-6.741573033707865E-2</v>
      </c>
      <c r="P160" s="11">
        <v>-1.8181818181818181</v>
      </c>
      <c r="Q160" s="11">
        <v>-0.15384615384615385</v>
      </c>
      <c r="R160" s="11">
        <v>0.11049723756906077</v>
      </c>
      <c r="S160" s="11">
        <v>-1.9069767441860466</v>
      </c>
      <c r="T160" s="11">
        <v>-0.24390243902439024</v>
      </c>
      <c r="U160" s="11">
        <v>5.128205128205128E-2</v>
      </c>
      <c r="V160" s="11">
        <v>-1.3846153846153846</v>
      </c>
    </row>
    <row r="161" spans="1:22" ht="15.6" thickTop="1" thickBot="1" x14ac:dyDescent="0.35">
      <c r="A161" s="13">
        <v>8003900</v>
      </c>
      <c r="B161" s="6" t="s">
        <v>30</v>
      </c>
      <c r="C161" s="2" t="s">
        <v>349</v>
      </c>
      <c r="D161" s="23">
        <v>45099</v>
      </c>
      <c r="E161" s="25" t="s">
        <v>176</v>
      </c>
      <c r="F161" s="11">
        <v>-2.564102564102564E-2</v>
      </c>
      <c r="G161" s="11">
        <v>0</v>
      </c>
      <c r="H161" s="11">
        <v>-0.11764705882352941</v>
      </c>
      <c r="I161" s="11">
        <v>0.16666666666666666</v>
      </c>
      <c r="J161" s="11">
        <v>0.4</v>
      </c>
      <c r="K161" s="11">
        <v>0.2857142857142857</v>
      </c>
      <c r="L161" s="11">
        <v>-1.5503875968992248E-2</v>
      </c>
      <c r="M161" s="11">
        <v>0</v>
      </c>
      <c r="N161" s="11">
        <v>0</v>
      </c>
      <c r="O161" s="11">
        <v>-0.125</v>
      </c>
      <c r="P161" s="11">
        <v>0</v>
      </c>
      <c r="Q161" s="11">
        <v>0</v>
      </c>
      <c r="R161" s="11">
        <v>0.66666666666666663</v>
      </c>
      <c r="S161" s="11">
        <v>0.15384615384615385</v>
      </c>
      <c r="T161" s="11">
        <v>0</v>
      </c>
      <c r="U161" s="11">
        <v>0</v>
      </c>
      <c r="V161" s="11">
        <v>0.5</v>
      </c>
    </row>
    <row r="162" spans="1:22" ht="15.6" thickTop="1" thickBot="1" x14ac:dyDescent="0.35">
      <c r="A162" s="13">
        <v>8004000</v>
      </c>
      <c r="B162" s="6" t="s">
        <v>31</v>
      </c>
      <c r="C162" s="2" t="s">
        <v>350</v>
      </c>
      <c r="D162" s="23">
        <v>45099</v>
      </c>
      <c r="E162" s="25" t="s">
        <v>176</v>
      </c>
      <c r="F162" s="11">
        <v>-1.411764705882353E-2</v>
      </c>
      <c r="G162" s="11">
        <v>1.1695906432748537E-2</v>
      </c>
      <c r="H162" s="11">
        <v>3.8834951456310676E-2</v>
      </c>
      <c r="I162" s="11">
        <v>-0.43478260869565216</v>
      </c>
      <c r="J162" s="11">
        <v>-0.24</v>
      </c>
      <c r="K162" s="11">
        <v>-0.4</v>
      </c>
      <c r="L162" s="11">
        <v>2.5000000000000001E-2</v>
      </c>
      <c r="M162" s="11">
        <v>0</v>
      </c>
      <c r="N162" s="11">
        <v>-0.11764705882352941</v>
      </c>
      <c r="O162" s="11">
        <v>3.2786885245901641E-2</v>
      </c>
      <c r="P162" s="11">
        <v>0.66666666666666663</v>
      </c>
      <c r="Q162" s="11">
        <v>-1.1111111111111112</v>
      </c>
      <c r="R162" s="11">
        <v>0</v>
      </c>
      <c r="S162" s="11">
        <v>0</v>
      </c>
      <c r="T162" s="11">
        <v>0.2857142857142857</v>
      </c>
      <c r="U162" s="11">
        <v>-0.22222222222222221</v>
      </c>
      <c r="V162" s="11">
        <v>-0.66666666666666663</v>
      </c>
    </row>
    <row r="163" spans="1:22" ht="15.6" thickTop="1" thickBot="1" x14ac:dyDescent="0.35">
      <c r="A163" s="13">
        <v>8028500</v>
      </c>
      <c r="B163" s="6" t="s">
        <v>81</v>
      </c>
      <c r="C163" s="2" t="s">
        <v>409</v>
      </c>
      <c r="D163" s="23">
        <v>45348</v>
      </c>
      <c r="E163" s="25" t="s">
        <v>177</v>
      </c>
      <c r="F163" s="11">
        <v>-8.591885441527447E-3</v>
      </c>
      <c r="G163" s="11">
        <v>-1.1074197120708749E-2</v>
      </c>
      <c r="H163" s="11">
        <v>-1.6129032258064516E-2</v>
      </c>
      <c r="I163" s="11" t="s">
        <v>13</v>
      </c>
      <c r="J163" s="11">
        <v>0.04</v>
      </c>
      <c r="K163" s="11">
        <v>-0.59459459459459463</v>
      </c>
      <c r="L163" s="11">
        <v>3.864734299516908E-2</v>
      </c>
      <c r="M163" s="11" t="s">
        <v>13</v>
      </c>
      <c r="N163" s="11" t="s">
        <v>13</v>
      </c>
      <c r="O163" s="11">
        <v>-1.7094017094017096E-2</v>
      </c>
      <c r="P163" s="11">
        <v>0</v>
      </c>
      <c r="Q163" s="11" t="s">
        <v>13</v>
      </c>
      <c r="R163" s="11" t="s">
        <v>13</v>
      </c>
      <c r="S163" s="11" t="s">
        <v>13</v>
      </c>
      <c r="T163" s="11">
        <v>-0.22222222222222221</v>
      </c>
      <c r="U163" s="11" t="s">
        <v>13</v>
      </c>
      <c r="V163" s="11">
        <v>1.7094017094017096E-2</v>
      </c>
    </row>
    <row r="164" spans="1:22" ht="15.6" thickTop="1" thickBot="1" x14ac:dyDescent="0.35">
      <c r="A164" s="13">
        <v>8023600</v>
      </c>
      <c r="B164" s="6" t="s">
        <v>193</v>
      </c>
      <c r="C164" s="2" t="s">
        <v>274</v>
      </c>
      <c r="D164" s="23">
        <v>45748</v>
      </c>
      <c r="E164" s="32">
        <v>0.51041666666666663</v>
      </c>
      <c r="F164" s="11">
        <v>-0.1106</v>
      </c>
      <c r="G164" s="11">
        <v>-7.4099999999999999E-2</v>
      </c>
      <c r="H164" s="11">
        <v>-3.9699999999999999E-2</v>
      </c>
      <c r="I164" s="11">
        <v>0</v>
      </c>
      <c r="J164" s="11">
        <v>-0.73680000000000001</v>
      </c>
      <c r="K164" s="11">
        <v>-0.2979</v>
      </c>
      <c r="L164" s="11">
        <v>-4.2200000000000001E-2</v>
      </c>
      <c r="M164" s="11">
        <v>0</v>
      </c>
      <c r="N164" s="11">
        <v>0</v>
      </c>
      <c r="O164" s="11">
        <v>-0.26229999999999998</v>
      </c>
      <c r="P164" s="11">
        <v>0.92859999999999998</v>
      </c>
      <c r="Q164" s="11">
        <v>0</v>
      </c>
      <c r="R164" s="11">
        <v>0</v>
      </c>
      <c r="S164" s="11">
        <v>0</v>
      </c>
      <c r="T164" s="11">
        <v>0.66669999999999996</v>
      </c>
      <c r="U164" s="11">
        <v>-2</v>
      </c>
      <c r="V164" s="11">
        <v>-1.2726999999999999</v>
      </c>
    </row>
    <row r="165" spans="1:22" ht="15.6" thickTop="1" thickBot="1" x14ac:dyDescent="0.35">
      <c r="A165" s="13">
        <v>8003100</v>
      </c>
      <c r="B165" s="6" t="s">
        <v>29</v>
      </c>
      <c r="C165" s="2" t="s">
        <v>348</v>
      </c>
      <c r="D165" s="23">
        <v>45098</v>
      </c>
      <c r="E165" s="25" t="s">
        <v>174</v>
      </c>
      <c r="F165" s="11">
        <v>-0.15032679738562091</v>
      </c>
      <c r="G165" s="11">
        <v>-0.19672131147540983</v>
      </c>
      <c r="H165" s="11">
        <v>-0.11634349030470914</v>
      </c>
      <c r="I165" s="11">
        <v>-2</v>
      </c>
      <c r="J165" s="11">
        <v>0</v>
      </c>
      <c r="K165" s="11">
        <v>2</v>
      </c>
      <c r="L165" s="11">
        <v>-0.20576131687242799</v>
      </c>
      <c r="M165" s="11">
        <v>0</v>
      </c>
      <c r="N165" s="11">
        <v>0</v>
      </c>
      <c r="O165" s="11">
        <v>-0.13714285714285715</v>
      </c>
      <c r="P165" s="11">
        <v>0.8571428571428571</v>
      </c>
      <c r="Q165" s="11">
        <v>0</v>
      </c>
      <c r="R165" s="11">
        <v>0</v>
      </c>
      <c r="S165" s="11">
        <v>-2</v>
      </c>
      <c r="T165" s="11">
        <v>0</v>
      </c>
      <c r="U165" s="11">
        <v>0</v>
      </c>
      <c r="V165" s="11">
        <v>0</v>
      </c>
    </row>
    <row r="166" spans="1:22" ht="15.6" thickTop="1" thickBot="1" x14ac:dyDescent="0.35">
      <c r="A166" s="13">
        <v>8007600</v>
      </c>
      <c r="B166" s="6" t="s">
        <v>39</v>
      </c>
      <c r="C166" s="2" t="s">
        <v>359</v>
      </c>
      <c r="D166" s="23">
        <v>45105</v>
      </c>
      <c r="E166" s="25" t="s">
        <v>176</v>
      </c>
      <c r="F166" s="11">
        <v>-0.64163822525597269</v>
      </c>
      <c r="G166" s="11">
        <v>-0.90109890109890112</v>
      </c>
      <c r="H166" s="11">
        <v>-0.60122699386503065</v>
      </c>
      <c r="I166" s="11">
        <v>0</v>
      </c>
      <c r="J166" s="11">
        <v>0</v>
      </c>
      <c r="K166" s="11">
        <v>0</v>
      </c>
      <c r="L166" s="11">
        <v>-0.94252873563218387</v>
      </c>
      <c r="M166" s="11">
        <v>0</v>
      </c>
      <c r="N166" s="11">
        <v>0</v>
      </c>
      <c r="O166" s="11">
        <v>-0.60122699386503065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</row>
    <row r="167" spans="1:22" ht="15.6" thickTop="1" thickBot="1" x14ac:dyDescent="0.35">
      <c r="A167" s="13">
        <v>8048900</v>
      </c>
      <c r="B167" s="6" t="s">
        <v>115</v>
      </c>
      <c r="C167" s="2" t="s">
        <v>451</v>
      </c>
      <c r="D167" s="23">
        <v>45355</v>
      </c>
      <c r="E167" s="25" t="s">
        <v>177</v>
      </c>
      <c r="F167" s="11">
        <v>6.5757818765036086E-2</v>
      </c>
      <c r="G167" s="11">
        <v>-0.11369509043927649</v>
      </c>
      <c r="H167" s="11">
        <v>-3.0993618960802188E-2</v>
      </c>
      <c r="I167" s="11">
        <v>-8.2429501084598705E-2</v>
      </c>
      <c r="J167" s="11" t="s">
        <v>13</v>
      </c>
      <c r="K167" s="11">
        <v>-0.4</v>
      </c>
      <c r="L167" s="11">
        <v>-0.11183355006501951</v>
      </c>
      <c r="M167" s="11" t="s">
        <v>13</v>
      </c>
      <c r="N167" s="11">
        <v>1</v>
      </c>
      <c r="O167" s="11">
        <v>-4.2240587695133149E-2</v>
      </c>
      <c r="P167" s="11" t="s">
        <v>13</v>
      </c>
      <c r="Q167" s="11">
        <v>-0.36923076923076925</v>
      </c>
      <c r="R167" s="11" t="s">
        <v>13</v>
      </c>
      <c r="S167" s="11">
        <v>-5.9880239520958084E-2</v>
      </c>
      <c r="T167" s="11" t="s">
        <v>13</v>
      </c>
      <c r="U167" s="11" t="s">
        <v>13</v>
      </c>
      <c r="V167" s="11" t="s">
        <v>13</v>
      </c>
    </row>
    <row r="168" spans="1:22" ht="15.6" thickTop="1" thickBot="1" x14ac:dyDescent="0.35">
      <c r="A168" s="13">
        <v>8002900</v>
      </c>
      <c r="B168" s="6" t="s">
        <v>181</v>
      </c>
      <c r="C168" s="2" t="s">
        <v>262</v>
      </c>
      <c r="D168" s="23">
        <v>45730</v>
      </c>
      <c r="E168" s="24" t="s">
        <v>525</v>
      </c>
      <c r="F168" s="37">
        <v>-9.9500000000000005E-2</v>
      </c>
      <c r="G168" s="38">
        <v>4.3200000000000002E-2</v>
      </c>
      <c r="H168" s="39">
        <v>-0.14099999999999999</v>
      </c>
      <c r="I168" s="38">
        <v>0</v>
      </c>
      <c r="J168" s="39">
        <v>-0.25</v>
      </c>
      <c r="K168" s="39">
        <v>0.4</v>
      </c>
      <c r="L168" s="38">
        <v>1.55E-2</v>
      </c>
      <c r="M168" s="40" t="e">
        <v>#DIV/0!</v>
      </c>
      <c r="N168" s="39">
        <v>-2</v>
      </c>
      <c r="O168" s="39">
        <v>-0.14699999999999999</v>
      </c>
      <c r="P168" s="39">
        <v>1</v>
      </c>
      <c r="Q168" s="39">
        <v>-0.28570000000000001</v>
      </c>
      <c r="R168" s="38">
        <v>0</v>
      </c>
      <c r="S168" s="39">
        <v>0.4</v>
      </c>
      <c r="T168" s="38">
        <v>0</v>
      </c>
      <c r="U168" s="40" t="e">
        <v>#DIV/0!</v>
      </c>
      <c r="V168" s="39">
        <v>-0.28570000000000001</v>
      </c>
    </row>
    <row r="169" spans="1:22" ht="15.6" thickTop="1" thickBot="1" x14ac:dyDescent="0.35">
      <c r="A169" s="13">
        <v>8015700</v>
      </c>
      <c r="B169" s="6" t="s">
        <v>48</v>
      </c>
      <c r="C169" s="2" t="s">
        <v>371</v>
      </c>
      <c r="D169" s="23">
        <v>45100</v>
      </c>
      <c r="E169" s="24" t="s">
        <v>177</v>
      </c>
      <c r="F169" s="11">
        <v>-0.246</v>
      </c>
      <c r="G169" s="11">
        <v>-0.28123184195235329</v>
      </c>
      <c r="H169" s="11">
        <v>-2.038216560509554E-2</v>
      </c>
      <c r="I169" s="11">
        <v>-0.11764705882352941</v>
      </c>
      <c r="J169" s="11">
        <v>0</v>
      </c>
      <c r="K169" s="11">
        <v>-0.26666666666666666</v>
      </c>
      <c r="L169" s="11">
        <v>-0.28960096735187424</v>
      </c>
      <c r="M169" s="11">
        <v>-1.9230769230769232E-2</v>
      </c>
      <c r="N169" s="11">
        <v>-0.3125</v>
      </c>
      <c r="O169" s="11">
        <v>-1.3962765957446808E-2</v>
      </c>
      <c r="P169" s="11">
        <v>-2.9411764705882353E-2</v>
      </c>
      <c r="Q169" s="11">
        <v>-0.125</v>
      </c>
      <c r="R169" s="11">
        <v>-0.25</v>
      </c>
      <c r="S169" s="11">
        <v>-0.04</v>
      </c>
      <c r="T169" s="11">
        <v>0</v>
      </c>
      <c r="U169" s="11">
        <v>0</v>
      </c>
      <c r="V169" s="11">
        <v>0</v>
      </c>
    </row>
    <row r="170" spans="1:22" ht="15.6" thickTop="1" thickBot="1" x14ac:dyDescent="0.35">
      <c r="A170" s="13">
        <v>8035300</v>
      </c>
      <c r="B170" s="6" t="s">
        <v>95</v>
      </c>
      <c r="C170" s="2" t="s">
        <v>426</v>
      </c>
      <c r="D170" s="23">
        <v>45110</v>
      </c>
      <c r="E170" s="25" t="s">
        <v>176</v>
      </c>
      <c r="F170" s="11">
        <v>-4.4624746450304259E-2</v>
      </c>
      <c r="G170" s="11">
        <v>-3.6363636363636362E-2</v>
      </c>
      <c r="H170" s="11">
        <v>-0.19469026548672566</v>
      </c>
      <c r="I170" s="11">
        <v>1.834862385321101E-2</v>
      </c>
      <c r="J170" s="11">
        <v>1.2422360248447204E-2</v>
      </c>
      <c r="K170" s="11">
        <v>0</v>
      </c>
      <c r="L170" s="11">
        <v>3.6363636363636362E-2</v>
      </c>
      <c r="M170" s="11">
        <v>-0.1276595744680851</v>
      </c>
      <c r="N170" s="11">
        <v>-7.6923076923076927E-2</v>
      </c>
      <c r="O170" s="11">
        <v>3.9215686274509803E-2</v>
      </c>
      <c r="P170" s="11">
        <v>-2</v>
      </c>
      <c r="Q170" s="11">
        <v>0.13333333333333333</v>
      </c>
      <c r="R170" s="11">
        <v>0.42105263157894735</v>
      </c>
      <c r="S170" s="11">
        <v>-1.7777777777777777</v>
      </c>
      <c r="T170" s="11">
        <v>0.10526315789473684</v>
      </c>
      <c r="U170" s="11">
        <v>0.11023622047244094</v>
      </c>
      <c r="V170" s="11">
        <v>-0.93333333333333335</v>
      </c>
    </row>
    <row r="171" spans="1:22" ht="15.6" thickTop="1" thickBot="1" x14ac:dyDescent="0.35">
      <c r="A171" s="13">
        <v>8028000</v>
      </c>
      <c r="B171" s="6" t="s">
        <v>196</v>
      </c>
      <c r="C171" s="2" t="s">
        <v>278</v>
      </c>
      <c r="D171" s="23">
        <v>45384</v>
      </c>
      <c r="E171" s="24" t="s">
        <v>177</v>
      </c>
      <c r="F171" s="11">
        <v>0.20818875780707841</v>
      </c>
      <c r="G171" s="11">
        <v>0.21570680628272251</v>
      </c>
      <c r="H171" s="11">
        <v>0.22873082287308227</v>
      </c>
      <c r="I171" s="11">
        <v>0.23255813953488372</v>
      </c>
      <c r="J171" s="11">
        <v>0.12444444444444444</v>
      </c>
      <c r="K171" s="11">
        <v>0.63636363636363635</v>
      </c>
      <c r="L171" s="11">
        <v>0.1894273127753304</v>
      </c>
      <c r="M171" s="11">
        <v>2</v>
      </c>
      <c r="N171" s="11">
        <v>0.76363636363636367</v>
      </c>
      <c r="O171" s="11">
        <v>0.42283675289919714</v>
      </c>
      <c r="P171" s="11">
        <v>-0.72868217054263562</v>
      </c>
      <c r="Q171" s="11">
        <v>0</v>
      </c>
      <c r="R171" s="11">
        <v>0.66666666666666663</v>
      </c>
      <c r="S171" s="11">
        <v>0.23529411764705882</v>
      </c>
      <c r="T171" s="11">
        <v>0.15642458100558659</v>
      </c>
      <c r="U171" s="11">
        <v>0.66666666666666663</v>
      </c>
      <c r="V171" s="11">
        <v>-4.6511627906976744E-2</v>
      </c>
    </row>
    <row r="172" spans="1:22" ht="15.6" thickTop="1" thickBot="1" x14ac:dyDescent="0.35">
      <c r="A172" s="13">
        <v>8055950</v>
      </c>
      <c r="B172" s="6" t="s">
        <v>521</v>
      </c>
      <c r="C172" s="2" t="s">
        <v>522</v>
      </c>
      <c r="D172" s="23">
        <v>45418</v>
      </c>
      <c r="E172" s="25" t="s">
        <v>177</v>
      </c>
      <c r="F172" s="11">
        <v>0.4130663856691254</v>
      </c>
      <c r="G172" s="11">
        <v>0.22984562607204118</v>
      </c>
      <c r="H172" s="11">
        <v>0.61003861003861004</v>
      </c>
      <c r="I172" s="11">
        <v>0.27718550106609807</v>
      </c>
      <c r="J172" s="11">
        <v>0.62195121951219512</v>
      </c>
      <c r="K172" s="11">
        <v>0.8571428571428571</v>
      </c>
      <c r="L172" s="11">
        <v>0.18666666666666668</v>
      </c>
      <c r="M172" s="11">
        <v>0</v>
      </c>
      <c r="N172" s="11">
        <v>0.20952380952380953</v>
      </c>
      <c r="O172" s="11">
        <v>0.7078651685393258</v>
      </c>
      <c r="P172" s="11">
        <v>0.73684210526315785</v>
      </c>
      <c r="Q172" s="11">
        <v>0.16161616161616163</v>
      </c>
      <c r="R172" s="11">
        <v>0.56862745098039214</v>
      </c>
      <c r="S172" s="11">
        <v>-0.26865671641791045</v>
      </c>
      <c r="T172" s="11">
        <v>0.16666666666666666</v>
      </c>
      <c r="U172" s="11">
        <v>0.16867469879518071</v>
      </c>
      <c r="V172" s="11">
        <v>1.2463768115942029</v>
      </c>
    </row>
    <row r="173" spans="1:22" ht="15.6" thickTop="1" thickBot="1" x14ac:dyDescent="0.35">
      <c r="A173" s="13">
        <v>8057400</v>
      </c>
      <c r="B173" s="6" t="s">
        <v>143</v>
      </c>
      <c r="C173" s="2" t="s">
        <v>482</v>
      </c>
      <c r="D173" s="23">
        <v>45125</v>
      </c>
      <c r="E173" s="25" t="s">
        <v>176</v>
      </c>
      <c r="F173" s="11">
        <v>-7.7777777777777779E-2</v>
      </c>
      <c r="G173" s="11">
        <v>-0.19867549668874171</v>
      </c>
      <c r="H173" s="11">
        <v>-0.6074074074074074</v>
      </c>
      <c r="I173" s="11">
        <v>0.48803827751196172</v>
      </c>
      <c r="J173" s="11">
        <v>-0.20444444444444446</v>
      </c>
      <c r="K173" s="11">
        <v>0</v>
      </c>
      <c r="L173" s="11">
        <v>0</v>
      </c>
      <c r="M173" s="11">
        <v>-2</v>
      </c>
      <c r="N173" s="11">
        <v>0</v>
      </c>
      <c r="O173" s="11">
        <v>-2.5316455696202531E-2</v>
      </c>
      <c r="P173" s="11">
        <v>-2</v>
      </c>
      <c r="Q173" s="11">
        <v>0</v>
      </c>
      <c r="R173" s="11">
        <v>0.69444444444444442</v>
      </c>
      <c r="S173" s="11">
        <v>7.407407407407407E-2</v>
      </c>
      <c r="T173" s="11">
        <v>0</v>
      </c>
      <c r="U173" s="11">
        <v>0</v>
      </c>
      <c r="V173" s="11">
        <v>-0.86792452830188682</v>
      </c>
    </row>
    <row r="174" spans="1:22" ht="15.6" thickTop="1" thickBot="1" x14ac:dyDescent="0.35">
      <c r="A174" s="13">
        <v>8057800</v>
      </c>
      <c r="B174" s="6" t="s">
        <v>241</v>
      </c>
      <c r="C174" s="2" t="s">
        <v>324</v>
      </c>
      <c r="D174" s="59" t="s">
        <v>13</v>
      </c>
      <c r="E174" s="59" t="s">
        <v>13</v>
      </c>
    </row>
    <row r="175" spans="1:22" ht="15.6" thickTop="1" thickBot="1" x14ac:dyDescent="0.35">
      <c r="A175" s="13">
        <v>8057350</v>
      </c>
      <c r="B175" s="6" t="s">
        <v>142</v>
      </c>
      <c r="C175" s="2" t="s">
        <v>481</v>
      </c>
      <c r="D175" s="23">
        <v>45125</v>
      </c>
      <c r="E175" s="25" t="s">
        <v>176</v>
      </c>
      <c r="F175" s="11">
        <v>-0.12089999999999999</v>
      </c>
      <c r="G175" s="11">
        <v>-0.4</v>
      </c>
      <c r="H175" s="11">
        <v>-1.2</v>
      </c>
      <c r="I175" s="11">
        <v>-0.16250000000000001</v>
      </c>
      <c r="J175" s="11">
        <v>0</v>
      </c>
      <c r="K175" s="11">
        <v>0</v>
      </c>
      <c r="L175" s="11">
        <v>0</v>
      </c>
      <c r="M175" s="11">
        <v>-2</v>
      </c>
      <c r="N175" s="11">
        <v>0</v>
      </c>
      <c r="O175" s="11">
        <v>0</v>
      </c>
      <c r="P175" s="11">
        <v>-1.5</v>
      </c>
      <c r="Q175" s="11">
        <v>0</v>
      </c>
      <c r="R175" s="11">
        <v>-0.1618</v>
      </c>
      <c r="S175" s="11">
        <v>-2</v>
      </c>
      <c r="T175" s="11">
        <v>0</v>
      </c>
      <c r="U175" s="11">
        <v>1.9400000000000001E-2</v>
      </c>
      <c r="V175" s="11">
        <v>-1</v>
      </c>
    </row>
    <row r="176" spans="1:22" ht="15.6" thickTop="1" thickBot="1" x14ac:dyDescent="0.35">
      <c r="A176" s="13">
        <v>8057450</v>
      </c>
      <c r="B176" s="6" t="s">
        <v>144</v>
      </c>
      <c r="C176" s="2" t="s">
        <v>483</v>
      </c>
      <c r="D176" s="23">
        <v>45113</v>
      </c>
      <c r="E176" s="25" t="s">
        <v>177</v>
      </c>
      <c r="F176" s="11">
        <v>-0.2857142857142857</v>
      </c>
      <c r="G176" s="11">
        <v>-0.32098765432098764</v>
      </c>
      <c r="H176" s="11">
        <v>0</v>
      </c>
      <c r="I176" s="11">
        <v>-5.6338028169014086E-2</v>
      </c>
      <c r="J176" s="11">
        <v>-0.52777777777777779</v>
      </c>
      <c r="K176" s="11">
        <v>-9.2307692307692313E-2</v>
      </c>
      <c r="L176" s="11">
        <v>2</v>
      </c>
      <c r="M176" s="11">
        <v>-2</v>
      </c>
      <c r="N176" s="11">
        <v>-1</v>
      </c>
      <c r="O176" s="11">
        <v>0</v>
      </c>
      <c r="P176" s="11">
        <v>0.2</v>
      </c>
      <c r="Q176" s="11">
        <v>0</v>
      </c>
      <c r="R176" s="11">
        <v>-6.1538461538461542E-2</v>
      </c>
      <c r="S176" s="11">
        <v>0</v>
      </c>
      <c r="T176" s="11">
        <v>-0.11764705882352941</v>
      </c>
      <c r="U176" s="11">
        <v>-0.28054298642533937</v>
      </c>
      <c r="V176" s="11">
        <v>-1.76</v>
      </c>
    </row>
    <row r="177" spans="1:22" ht="15.6" thickTop="1" thickBot="1" x14ac:dyDescent="0.35">
      <c r="A177" s="13">
        <v>8057650</v>
      </c>
      <c r="B177" s="6" t="s">
        <v>148</v>
      </c>
      <c r="C177" s="2" t="s">
        <v>487</v>
      </c>
      <c r="D177" s="23">
        <v>45128</v>
      </c>
      <c r="E177" s="25" t="s">
        <v>176</v>
      </c>
      <c r="F177" s="11">
        <v>0</v>
      </c>
      <c r="G177" s="11">
        <v>0</v>
      </c>
      <c r="H177" s="11">
        <v>0</v>
      </c>
      <c r="I177" s="11">
        <v>0</v>
      </c>
      <c r="J177" s="11">
        <v>0</v>
      </c>
      <c r="K177" s="11">
        <v>0</v>
      </c>
      <c r="L177" s="11">
        <v>0</v>
      </c>
      <c r="M177" s="11">
        <v>0</v>
      </c>
      <c r="N177" s="11">
        <v>0.11764705882352941</v>
      </c>
      <c r="O177" s="11">
        <v>0</v>
      </c>
      <c r="P177" s="11">
        <v>-4.6511627906976744E-2</v>
      </c>
      <c r="Q177" s="11">
        <v>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</row>
    <row r="178" spans="1:22" ht="15.6" thickTop="1" thickBot="1" x14ac:dyDescent="0.35">
      <c r="A178" s="13">
        <v>8057500</v>
      </c>
      <c r="B178" s="6" t="s">
        <v>145</v>
      </c>
      <c r="C178" s="2" t="s">
        <v>484</v>
      </c>
      <c r="D178" s="23">
        <v>45125</v>
      </c>
      <c r="E178" s="25" t="s">
        <v>176</v>
      </c>
      <c r="F178" s="11">
        <v>4.0816326530612249E-3</v>
      </c>
      <c r="G178" s="11">
        <v>0</v>
      </c>
      <c r="H178" s="11">
        <v>7.792207792207792E-2</v>
      </c>
      <c r="I178" s="11">
        <v>-4.4665012406947889E-2</v>
      </c>
      <c r="J178" s="11">
        <v>4.7393364928909949E-2</v>
      </c>
      <c r="K178" s="11">
        <v>0.15384615384615385</v>
      </c>
      <c r="L178" s="11">
        <v>0.48648648648648651</v>
      </c>
      <c r="M178" s="11">
        <v>-2</v>
      </c>
      <c r="N178" s="11">
        <v>0.1</v>
      </c>
      <c r="O178" s="11">
        <v>7.8431372549019607E-2</v>
      </c>
      <c r="P178" s="11">
        <v>0</v>
      </c>
      <c r="Q178" s="11">
        <v>4.4444444444444446E-2</v>
      </c>
      <c r="R178" s="11">
        <v>-8.0321285140562242E-3</v>
      </c>
      <c r="S178" s="11">
        <v>-0.3125</v>
      </c>
      <c r="T178" s="11">
        <v>0</v>
      </c>
      <c r="U178" s="11">
        <v>6.1349693251533742E-2</v>
      </c>
      <c r="V178" s="11">
        <v>0</v>
      </c>
    </row>
    <row r="179" spans="1:22" ht="15.6" thickTop="1" thickBot="1" x14ac:dyDescent="0.35">
      <c r="A179" s="13">
        <v>8057550</v>
      </c>
      <c r="B179" s="6" t="s">
        <v>146</v>
      </c>
      <c r="C179" s="2" t="s">
        <v>485</v>
      </c>
      <c r="D179" s="23">
        <v>45113</v>
      </c>
      <c r="E179" s="25" t="s">
        <v>177</v>
      </c>
      <c r="F179" s="11">
        <v>-0.15463917525773196</v>
      </c>
      <c r="G179" s="11">
        <v>-0.19672131147540983</v>
      </c>
      <c r="H179" s="11">
        <v>-0.52307692307692311</v>
      </c>
      <c r="I179" s="11">
        <v>-0.1718213058419244</v>
      </c>
      <c r="J179" s="11">
        <v>-4.0268456375838924E-2</v>
      </c>
      <c r="K179" s="11">
        <v>-0.16949152542372881</v>
      </c>
      <c r="L179" s="11">
        <v>-0.6</v>
      </c>
      <c r="M179" s="11">
        <v>0.43478260869565216</v>
      </c>
      <c r="N179" s="11">
        <v>0</v>
      </c>
      <c r="O179" s="11">
        <v>6.0606060606060608E-2</v>
      </c>
      <c r="P179" s="11">
        <v>-1.2</v>
      </c>
      <c r="Q179" s="11">
        <v>0</v>
      </c>
      <c r="R179" s="11">
        <v>2.4489795918367346E-2</v>
      </c>
      <c r="S179" s="11">
        <v>-1.5555555555555556</v>
      </c>
      <c r="T179" s="11">
        <v>0</v>
      </c>
      <c r="U179" s="11">
        <v>-5.8823529411764705E-2</v>
      </c>
      <c r="V179" s="11">
        <v>0</v>
      </c>
    </row>
    <row r="180" spans="1:22" ht="15.6" thickTop="1" thickBot="1" x14ac:dyDescent="0.35">
      <c r="A180" s="13">
        <v>8057600</v>
      </c>
      <c r="B180" s="6" t="s">
        <v>147</v>
      </c>
      <c r="C180" s="2" t="s">
        <v>486</v>
      </c>
      <c r="D180" s="23">
        <v>45357</v>
      </c>
      <c r="E180" s="25" t="s">
        <v>177</v>
      </c>
      <c r="F180" s="11">
        <v>-0.1554054054054054</v>
      </c>
      <c r="G180" s="11">
        <v>-0.21678321678321677</v>
      </c>
      <c r="H180" s="11">
        <v>-6.1538461538461542E-2</v>
      </c>
      <c r="I180" s="11">
        <v>-2.0046260601387818E-2</v>
      </c>
      <c r="J180" s="11">
        <v>-0.2923433874709977</v>
      </c>
      <c r="K180" s="11">
        <v>-1.1827956989247312</v>
      </c>
      <c r="L180" s="11">
        <v>0.22421524663677131</v>
      </c>
      <c r="M180" s="11">
        <v>0.2822085889570552</v>
      </c>
      <c r="N180" s="11">
        <v>-0.12244897959183673</v>
      </c>
      <c r="O180" s="11">
        <v>-1.1428571428571429E-2</v>
      </c>
      <c r="P180" s="11">
        <v>-8.5470085470085472E-2</v>
      </c>
      <c r="Q180" s="11">
        <v>0.21487603305785125</v>
      </c>
      <c r="R180" s="11">
        <v>2.8571428571428571E-2</v>
      </c>
      <c r="S180" s="11">
        <v>-1.5</v>
      </c>
      <c r="T180" s="11">
        <v>7.2289156626506021E-2</v>
      </c>
      <c r="U180" s="11">
        <v>-0.31676300578034683</v>
      </c>
      <c r="V180" s="11">
        <v>-0.3188405797101449</v>
      </c>
    </row>
    <row r="181" spans="1:22" ht="15.6" thickTop="1" thickBot="1" x14ac:dyDescent="0.35">
      <c r="A181" s="13">
        <v>8061200</v>
      </c>
      <c r="B181" s="6" t="s">
        <v>251</v>
      </c>
      <c r="C181" s="2" t="s">
        <v>334</v>
      </c>
      <c r="D181" s="59" t="s">
        <v>13</v>
      </c>
      <c r="E181" s="59" t="s">
        <v>13</v>
      </c>
    </row>
    <row r="182" spans="1:22" ht="15.6" thickTop="1" thickBot="1" x14ac:dyDescent="0.35">
      <c r="A182" s="13">
        <v>8039200</v>
      </c>
      <c r="B182" s="6" t="s">
        <v>101</v>
      </c>
      <c r="C182" s="2" t="s">
        <v>432</v>
      </c>
      <c r="D182" s="23">
        <v>45110</v>
      </c>
      <c r="E182" s="25" t="s">
        <v>174</v>
      </c>
      <c r="F182" s="11">
        <v>-0.37958532695374803</v>
      </c>
      <c r="G182" s="11">
        <v>3.2786885245901641E-2</v>
      </c>
      <c r="H182" s="11" t="s">
        <v>13</v>
      </c>
      <c r="I182" s="11">
        <v>-0.47698744769874479</v>
      </c>
      <c r="J182" s="11">
        <v>-0.38532110091743121</v>
      </c>
      <c r="K182" s="11">
        <v>4.878048780487805E-2</v>
      </c>
      <c r="L182" s="11">
        <v>2</v>
      </c>
      <c r="M182" s="11">
        <v>-0.10526315789473684</v>
      </c>
      <c r="N182" s="11" t="s">
        <v>13</v>
      </c>
      <c r="O182" s="11" t="s">
        <v>13</v>
      </c>
      <c r="P182" s="11" t="s">
        <v>13</v>
      </c>
      <c r="Q182" s="11">
        <v>0.4</v>
      </c>
      <c r="R182" s="11">
        <v>-0.49572649572649574</v>
      </c>
      <c r="S182" s="11" t="s">
        <v>13</v>
      </c>
      <c r="T182" s="11" t="s">
        <v>13</v>
      </c>
      <c r="U182" s="11">
        <v>-0.43542435424354242</v>
      </c>
      <c r="V182" s="11">
        <v>-0.14285714285714285</v>
      </c>
    </row>
    <row r="183" spans="1:22" ht="15.6" thickTop="1" thickBot="1" x14ac:dyDescent="0.35">
      <c r="A183" s="13">
        <v>8031500</v>
      </c>
      <c r="B183" s="6" t="s">
        <v>85</v>
      </c>
      <c r="C183" s="2" t="s">
        <v>414</v>
      </c>
      <c r="D183" s="23">
        <v>45110</v>
      </c>
      <c r="E183" s="25" t="s">
        <v>177</v>
      </c>
      <c r="F183" s="11">
        <v>-0.29158110882956878</v>
      </c>
      <c r="G183" s="11">
        <v>0</v>
      </c>
      <c r="H183" s="11">
        <v>-1</v>
      </c>
      <c r="I183" s="11">
        <v>-0.57425742574257421</v>
      </c>
      <c r="J183" s="11">
        <v>-6.545454545454546E-2</v>
      </c>
      <c r="K183" s="11">
        <v>0</v>
      </c>
      <c r="L183" s="11">
        <v>0</v>
      </c>
      <c r="M183" s="11">
        <v>0</v>
      </c>
      <c r="N183" s="11">
        <v>0</v>
      </c>
      <c r="O183" s="11">
        <v>0</v>
      </c>
      <c r="P183" s="11">
        <v>-2</v>
      </c>
      <c r="Q183" s="11">
        <v>-2</v>
      </c>
      <c r="R183" s="11">
        <v>-0.56000000000000005</v>
      </c>
      <c r="S183" s="11">
        <v>-2</v>
      </c>
      <c r="T183" s="11">
        <v>-0.75</v>
      </c>
      <c r="U183" s="11">
        <v>-2.3166023166023165E-2</v>
      </c>
      <c r="V183" s="11">
        <v>0</v>
      </c>
    </row>
    <row r="184" spans="1:22" ht="15.6" thickTop="1" thickBot="1" x14ac:dyDescent="0.35">
      <c r="A184" s="13">
        <v>8053500</v>
      </c>
      <c r="B184" s="6" t="s">
        <v>121</v>
      </c>
      <c r="C184" s="2" t="s">
        <v>458</v>
      </c>
      <c r="D184" s="23">
        <v>45124</v>
      </c>
      <c r="E184" s="25" t="s">
        <v>174</v>
      </c>
      <c r="F184" s="11">
        <v>-6.1855670103092786E-2</v>
      </c>
      <c r="G184" s="11">
        <v>9.5238095238095233E-2</v>
      </c>
      <c r="H184" s="11">
        <v>-0.33333333333333331</v>
      </c>
      <c r="I184" s="11">
        <v>-7.8602620087336247E-2</v>
      </c>
      <c r="J184" s="11">
        <v>-1.8518518518518517E-2</v>
      </c>
      <c r="K184" s="11">
        <v>-1.5555555555555556</v>
      </c>
      <c r="L184" s="11">
        <v>1.6</v>
      </c>
      <c r="M184" s="11">
        <v>0</v>
      </c>
      <c r="N184" s="11">
        <v>0</v>
      </c>
      <c r="O184" s="11">
        <v>0</v>
      </c>
      <c r="P184" s="11">
        <v>-2</v>
      </c>
      <c r="Q184" s="11">
        <v>0.4</v>
      </c>
      <c r="R184" s="11">
        <v>-1.8691588785046728E-2</v>
      </c>
      <c r="S184" s="11">
        <v>-1.6</v>
      </c>
      <c r="T184" s="11">
        <v>-0.66666666666666663</v>
      </c>
      <c r="U184" s="11">
        <v>0</v>
      </c>
      <c r="V184" s="11">
        <v>-0.10526315789473684</v>
      </c>
    </row>
    <row r="185" spans="1:22" ht="15.6" thickTop="1" thickBot="1" x14ac:dyDescent="0.35">
      <c r="A185" s="13">
        <v>9010590</v>
      </c>
      <c r="B185" s="6" t="s">
        <v>253</v>
      </c>
      <c r="C185" s="2" t="s">
        <v>336</v>
      </c>
      <c r="D185" s="59" t="s">
        <v>13</v>
      </c>
      <c r="E185" s="59" t="s">
        <v>13</v>
      </c>
    </row>
    <row r="186" spans="1:22" ht="15.6" thickTop="1" thickBot="1" x14ac:dyDescent="0.35">
      <c r="A186" s="13">
        <v>9010580</v>
      </c>
      <c r="B186" s="6" t="s">
        <v>252</v>
      </c>
      <c r="C186" s="2" t="s">
        <v>335</v>
      </c>
      <c r="D186" s="24" t="s">
        <v>13</v>
      </c>
      <c r="E186" s="24" t="s">
        <v>13</v>
      </c>
    </row>
    <row r="187" spans="1:22" ht="15.6" thickTop="1" thickBot="1" x14ac:dyDescent="0.35">
      <c r="A187" s="13">
        <v>8056150</v>
      </c>
      <c r="B187" s="6" t="s">
        <v>519</v>
      </c>
      <c r="C187" s="2" t="s">
        <v>474</v>
      </c>
      <c r="D187" s="23">
        <v>45098</v>
      </c>
      <c r="E187" s="24" t="s">
        <v>174</v>
      </c>
      <c r="F187" s="12">
        <v>-0.38102893890675243</v>
      </c>
      <c r="G187" s="12">
        <v>-0.34770889487870621</v>
      </c>
      <c r="H187" s="12">
        <v>-0.10416666666666667</v>
      </c>
      <c r="I187" s="12">
        <v>-0.41400491400491402</v>
      </c>
      <c r="J187" s="12">
        <v>-0.36910197869101979</v>
      </c>
      <c r="K187" s="12">
        <v>-0.25</v>
      </c>
      <c r="L187" s="12">
        <v>3.8461538461538464E-2</v>
      </c>
      <c r="M187" s="12">
        <v>-0.9907407407407407</v>
      </c>
      <c r="N187" s="12">
        <v>-5.2631578947368418E-2</v>
      </c>
      <c r="O187" s="12">
        <v>-6.25E-2</v>
      </c>
      <c r="P187" s="12">
        <v>-0.23076923076923078</v>
      </c>
      <c r="Q187" s="12">
        <v>-0.49230769230769234</v>
      </c>
      <c r="R187" s="12">
        <v>-0.39288256227758006</v>
      </c>
      <c r="S187" s="12">
        <v>-0.9285714285714286</v>
      </c>
      <c r="T187" s="12">
        <v>-0.25</v>
      </c>
      <c r="U187" s="12">
        <v>-4.5510455104551047E-2</v>
      </c>
      <c r="V187" s="12">
        <v>-0.91546391752577316</v>
      </c>
    </row>
    <row r="188" spans="1:22" ht="15.6" thickTop="1" thickBot="1" x14ac:dyDescent="0.35">
      <c r="A188" s="13">
        <v>8042800</v>
      </c>
      <c r="B188" s="6" t="s">
        <v>108</v>
      </c>
      <c r="C188" s="2" t="s">
        <v>442</v>
      </c>
      <c r="D188" s="23">
        <v>45112</v>
      </c>
      <c r="E188" s="25" t="s">
        <v>177</v>
      </c>
      <c r="F188" s="11">
        <v>-0.22468793342579751</v>
      </c>
      <c r="G188" s="11">
        <v>-2.2727272727272728E-2</v>
      </c>
      <c r="H188" s="11">
        <v>-8.5470085470085472E-2</v>
      </c>
      <c r="I188" s="11">
        <v>-0.4</v>
      </c>
      <c r="J188" s="11">
        <v>-0.25352112676056338</v>
      </c>
      <c r="K188" s="11">
        <v>7.407407407407407E-2</v>
      </c>
      <c r="L188" s="11">
        <v>1.4761904761904763</v>
      </c>
      <c r="M188" s="11">
        <v>-2</v>
      </c>
      <c r="N188" s="11">
        <v>-0.12987012987012986</v>
      </c>
      <c r="O188" s="11">
        <v>-0.4</v>
      </c>
      <c r="P188" s="11">
        <v>5.7142857142857141E-2</v>
      </c>
      <c r="Q188" s="11">
        <v>-0.26573426573426573</v>
      </c>
      <c r="R188" s="11">
        <v>3.9215686274509803E-2</v>
      </c>
      <c r="S188" s="11">
        <v>-2</v>
      </c>
      <c r="T188" s="11">
        <v>-0.72727272727272729</v>
      </c>
      <c r="U188" s="11">
        <v>-7.2727272727272724E-2</v>
      </c>
      <c r="V188" s="11">
        <v>-1.2</v>
      </c>
    </row>
    <row r="189" spans="1:22" ht="15.6" thickTop="1" thickBot="1" x14ac:dyDescent="0.35">
      <c r="A189" s="13">
        <v>8051600</v>
      </c>
      <c r="B189" s="6" t="s">
        <v>118</v>
      </c>
      <c r="C189" s="2" t="s">
        <v>455</v>
      </c>
      <c r="D189" s="23">
        <v>45113</v>
      </c>
      <c r="E189" s="25" t="s">
        <v>177</v>
      </c>
      <c r="F189" s="11">
        <v>0.26052104208416832</v>
      </c>
      <c r="G189" s="11">
        <v>0.32061068702290074</v>
      </c>
      <c r="H189" s="11">
        <v>0.39175257731958762</v>
      </c>
      <c r="I189" s="11">
        <v>-0.21359223300970873</v>
      </c>
      <c r="J189" s="11">
        <v>0.42857142857142855</v>
      </c>
      <c r="K189" s="11">
        <v>-0.55555555555555558</v>
      </c>
      <c r="L189" s="11">
        <v>1.139240506329114</v>
      </c>
      <c r="M189" s="11">
        <v>-1.75</v>
      </c>
      <c r="N189" s="11">
        <v>-0.8</v>
      </c>
      <c r="O189" s="11">
        <v>0.75</v>
      </c>
      <c r="P189" s="11">
        <v>-2</v>
      </c>
      <c r="Q189" s="11">
        <v>-0.2608695652173913</v>
      </c>
      <c r="R189" s="11">
        <v>-3.0769230769230771E-2</v>
      </c>
      <c r="S189" s="11">
        <v>-0.93333333333333335</v>
      </c>
      <c r="T189" s="11">
        <v>-1</v>
      </c>
      <c r="U189" s="11">
        <v>0.75862068965517238</v>
      </c>
      <c r="V189" s="11">
        <v>-2</v>
      </c>
    </row>
    <row r="190" spans="1:22" ht="15.6" thickTop="1" thickBot="1" x14ac:dyDescent="0.35">
      <c r="A190" s="13">
        <v>8052400</v>
      </c>
      <c r="B190" s="6" t="s">
        <v>119</v>
      </c>
      <c r="C190" s="2" t="s">
        <v>456</v>
      </c>
      <c r="D190" s="59" t="s">
        <v>13</v>
      </c>
      <c r="E190" s="59" t="s">
        <v>13</v>
      </c>
    </row>
    <row r="191" spans="1:22" ht="15.6" thickTop="1" thickBot="1" x14ac:dyDescent="0.35">
      <c r="A191" s="13">
        <v>8022300</v>
      </c>
      <c r="B191" s="6" t="s">
        <v>61</v>
      </c>
      <c r="C191" s="2" t="s">
        <v>384</v>
      </c>
      <c r="D191" s="23">
        <v>45110</v>
      </c>
      <c r="E191" s="25" t="s">
        <v>176</v>
      </c>
      <c r="F191" s="11">
        <v>-4.8257372654155493E-2</v>
      </c>
      <c r="G191" s="11">
        <v>0</v>
      </c>
      <c r="H191" s="11">
        <v>4.6511627906976744E-2</v>
      </c>
      <c r="I191" s="11">
        <v>0</v>
      </c>
      <c r="J191" s="11">
        <v>-0.125</v>
      </c>
      <c r="K191" s="11">
        <v>0</v>
      </c>
      <c r="L191" s="11">
        <v>0</v>
      </c>
      <c r="M191" s="11">
        <v>0</v>
      </c>
      <c r="N191" s="11">
        <v>0</v>
      </c>
      <c r="O191" s="11">
        <v>0</v>
      </c>
      <c r="P191" s="11">
        <v>0.08</v>
      </c>
      <c r="Q191" s="11">
        <v>0</v>
      </c>
      <c r="R191" s="11">
        <v>5.9405940594059403E-2</v>
      </c>
      <c r="S191" s="11">
        <v>-2</v>
      </c>
      <c r="T191" s="11">
        <v>-0.23529411764705882</v>
      </c>
      <c r="U191" s="11">
        <v>5.6074766355140186E-2</v>
      </c>
      <c r="V191" s="11">
        <v>-0.94736842105263153</v>
      </c>
    </row>
    <row r="192" spans="1:22" ht="15.6" thickTop="1" thickBot="1" x14ac:dyDescent="0.35">
      <c r="A192" s="13">
        <v>8039600</v>
      </c>
      <c r="B192" s="6" t="s">
        <v>102</v>
      </c>
      <c r="C192" s="2" t="s">
        <v>434</v>
      </c>
      <c r="D192" s="23">
        <v>45117</v>
      </c>
      <c r="E192" s="25" t="s">
        <v>177</v>
      </c>
      <c r="F192" s="11">
        <v>-0.3146067415730337</v>
      </c>
      <c r="G192" s="11">
        <v>0</v>
      </c>
      <c r="H192" s="11">
        <v>-0.98305084745762716</v>
      </c>
      <c r="I192" s="11">
        <v>-9.5238095238095233E-2</v>
      </c>
      <c r="J192" s="11">
        <v>-0.24561403508771928</v>
      </c>
      <c r="K192" s="11">
        <v>0</v>
      </c>
      <c r="L192" s="11">
        <v>0</v>
      </c>
      <c r="M192" s="11">
        <v>0</v>
      </c>
      <c r="N192" s="11">
        <v>0</v>
      </c>
      <c r="O192" s="11">
        <v>0</v>
      </c>
      <c r="P192" s="11">
        <v>-2</v>
      </c>
      <c r="Q192" s="11">
        <v>0</v>
      </c>
      <c r="R192" s="11">
        <v>0</v>
      </c>
      <c r="S192" s="11">
        <v>-1.2</v>
      </c>
      <c r="T192" s="11">
        <v>-0.34146341463414637</v>
      </c>
      <c r="U192" s="11">
        <v>-0.2153846153846154</v>
      </c>
      <c r="V192" s="11">
        <v>0</v>
      </c>
    </row>
    <row r="193" spans="1:22" ht="15.6" thickTop="1" thickBot="1" x14ac:dyDescent="0.35">
      <c r="A193" s="13">
        <v>8027300</v>
      </c>
      <c r="B193" s="6" t="s">
        <v>78</v>
      </c>
      <c r="C193" s="2" t="s">
        <v>405</v>
      </c>
      <c r="D193" s="23">
        <v>45112</v>
      </c>
      <c r="E193" s="25" t="s">
        <v>174</v>
      </c>
      <c r="F193" s="11">
        <v>-0.14994232987312572</v>
      </c>
      <c r="G193" s="11">
        <v>-9.1503267973856203E-2</v>
      </c>
      <c r="H193" s="11">
        <v>-5.7803468208092484E-2</v>
      </c>
      <c r="I193" s="11">
        <v>-0.27055702917771884</v>
      </c>
      <c r="J193" s="11">
        <v>-4.9382716049382713E-2</v>
      </c>
      <c r="K193" s="11">
        <v>0</v>
      </c>
      <c r="L193" s="11">
        <v>-7.407407407407407E-2</v>
      </c>
      <c r="M193" s="11">
        <v>-9.8360655737704916E-2</v>
      </c>
      <c r="N193" s="11">
        <v>-8.1300813008130079E-2</v>
      </c>
      <c r="O193" s="11">
        <v>0</v>
      </c>
      <c r="P193" s="11">
        <v>0</v>
      </c>
      <c r="Q193" s="11">
        <v>-0.88695652173913042</v>
      </c>
      <c r="R193" s="11">
        <v>-9.9290780141843976E-2</v>
      </c>
      <c r="S193" s="11">
        <v>0.11570247933884298</v>
      </c>
      <c r="T193" s="11">
        <v>1.0129870129870129</v>
      </c>
      <c r="U193" s="11">
        <v>-1.5</v>
      </c>
      <c r="V193" s="11">
        <v>-6.8965517241379309E-2</v>
      </c>
    </row>
    <row r="194" spans="1:22" ht="15.6" thickTop="1" thickBot="1" x14ac:dyDescent="0.35">
      <c r="A194" s="13">
        <v>8024300</v>
      </c>
      <c r="B194" s="6" t="s">
        <v>66</v>
      </c>
      <c r="C194" s="2" t="s">
        <v>275</v>
      </c>
      <c r="D194" s="23">
        <v>45112</v>
      </c>
      <c r="E194" s="25" t="s">
        <v>177</v>
      </c>
      <c r="F194" s="11">
        <v>-6.6265060240963861E-2</v>
      </c>
      <c r="G194" s="11">
        <v>0</v>
      </c>
      <c r="H194" s="11">
        <v>0</v>
      </c>
      <c r="I194" s="11">
        <v>-0.14054054054054055</v>
      </c>
      <c r="J194" s="11">
        <v>-0.11363636363636363</v>
      </c>
      <c r="K194" s="11">
        <v>-0.125</v>
      </c>
      <c r="L194" s="11">
        <v>0.11764705882352941</v>
      </c>
      <c r="M194" s="11">
        <v>0</v>
      </c>
      <c r="N194" s="11">
        <v>-0.12244897959183673</v>
      </c>
      <c r="O194" s="11">
        <v>0.13953488372093023</v>
      </c>
      <c r="P194" s="11">
        <v>0</v>
      </c>
      <c r="Q194" s="11">
        <v>-0.18867924528301888</v>
      </c>
      <c r="R194" s="11">
        <v>9.1743119266055051E-2</v>
      </c>
      <c r="S194" s="11">
        <v>-1.1304347826086956</v>
      </c>
      <c r="T194" s="11">
        <v>-4.2553191489361701E-2</v>
      </c>
      <c r="U194" s="11">
        <v>-1.6528925619834711E-2</v>
      </c>
      <c r="V194" s="11">
        <v>-2</v>
      </c>
    </row>
    <row r="195" spans="1:22" ht="15.6" thickTop="1" thickBot="1" x14ac:dyDescent="0.35">
      <c r="A195" s="13">
        <v>8037500</v>
      </c>
      <c r="B195" s="6" t="s">
        <v>98</v>
      </c>
      <c r="C195" s="2" t="s">
        <v>429</v>
      </c>
      <c r="D195" s="23">
        <v>45104</v>
      </c>
      <c r="E195" s="25" t="s">
        <v>174</v>
      </c>
      <c r="F195" s="11">
        <v>-0.12314225053078556</v>
      </c>
      <c r="G195" s="11">
        <v>0.4</v>
      </c>
      <c r="H195" s="11">
        <v>0</v>
      </c>
      <c r="I195" s="11">
        <v>-0.26600985221674878</v>
      </c>
      <c r="J195" s="11">
        <v>-3.4188034188034191E-2</v>
      </c>
      <c r="K195" s="11">
        <v>0.2857142857142857</v>
      </c>
      <c r="L195" s="11">
        <v>0</v>
      </c>
      <c r="M195" s="11">
        <v>0.66666666666666663</v>
      </c>
      <c r="N195" s="11">
        <v>0</v>
      </c>
      <c r="O195" s="11">
        <v>0</v>
      </c>
      <c r="P195" s="11">
        <v>0</v>
      </c>
      <c r="Q195" s="11">
        <v>-0.4</v>
      </c>
      <c r="R195" s="11">
        <v>-0.62721893491124259</v>
      </c>
      <c r="S195" s="11">
        <v>1.8620689655172413</v>
      </c>
      <c r="T195" s="11">
        <v>-0.54545454545454541</v>
      </c>
      <c r="U195" s="11">
        <v>-9.1324200913242004E-3</v>
      </c>
      <c r="V195" s="11">
        <v>0</v>
      </c>
    </row>
    <row r="196" spans="1:22" ht="15.6" thickTop="1" thickBot="1" x14ac:dyDescent="0.35">
      <c r="A196" s="13">
        <v>8024600</v>
      </c>
      <c r="B196" s="6" t="s">
        <v>2</v>
      </c>
      <c r="C196" s="2" t="s">
        <v>391</v>
      </c>
      <c r="D196" s="23">
        <v>45103</v>
      </c>
      <c r="E196" s="23" t="s">
        <v>176</v>
      </c>
      <c r="F196" s="11">
        <v>-0.2280752532561505</v>
      </c>
      <c r="G196" s="11">
        <v>4.0404040404040407E-2</v>
      </c>
      <c r="H196" s="11">
        <v>-0.32227488151658767</v>
      </c>
      <c r="I196" s="11">
        <v>8.4507042253521125E-2</v>
      </c>
      <c r="J196" s="11">
        <v>-4.4776119402985072E-2</v>
      </c>
      <c r="K196" s="11">
        <v>0.42857142857142855</v>
      </c>
      <c r="L196" s="11">
        <v>2.2222222222222223E-2</v>
      </c>
      <c r="M196" s="11">
        <v>0</v>
      </c>
      <c r="N196" s="11">
        <v>2.197802197802198E-2</v>
      </c>
      <c r="O196" s="11">
        <v>-0.25605536332179929</v>
      </c>
      <c r="P196" s="11">
        <v>-1.5238095238095237</v>
      </c>
      <c r="Q196" s="11">
        <v>0.14285714285714285</v>
      </c>
      <c r="R196" s="11">
        <v>0.08</v>
      </c>
      <c r="S196" s="11">
        <v>7.5471698113207544E-2</v>
      </c>
      <c r="T196" s="11">
        <v>3.3333333333333333E-2</v>
      </c>
      <c r="U196" s="11">
        <v>-0.13333333333333333</v>
      </c>
      <c r="V196" s="11">
        <v>0.15384615384615385</v>
      </c>
    </row>
    <row r="197" spans="1:22" ht="15.6" thickTop="1" thickBot="1" x14ac:dyDescent="0.35">
      <c r="A197" s="13">
        <v>8036500</v>
      </c>
      <c r="B197" s="6" t="s">
        <v>96</v>
      </c>
      <c r="C197" s="2" t="s">
        <v>427</v>
      </c>
      <c r="D197" s="23">
        <v>45350</v>
      </c>
      <c r="E197" s="25" t="s">
        <v>177</v>
      </c>
      <c r="F197" s="11">
        <v>2.5269068788020588E-2</v>
      </c>
      <c r="G197" s="11">
        <v>0.14918414918414918</v>
      </c>
      <c r="H197" s="11">
        <v>-4.1988950276243095E-2</v>
      </c>
      <c r="I197" s="11">
        <v>-0.3087248322147651</v>
      </c>
      <c r="J197" s="11">
        <v>4.4444444444444446E-2</v>
      </c>
      <c r="K197" s="11">
        <v>1.4805194805194806</v>
      </c>
      <c r="L197" s="11">
        <v>-0.10967741935483871</v>
      </c>
      <c r="M197" s="11">
        <v>0.50931677018633537</v>
      </c>
      <c r="N197" s="11">
        <v>-0.13333333333333333</v>
      </c>
      <c r="O197" s="11">
        <v>-0.39613526570048307</v>
      </c>
      <c r="P197" s="11">
        <v>0.89539748953974896</v>
      </c>
      <c r="Q197" s="11">
        <v>-5.8823529411764705E-2</v>
      </c>
      <c r="R197" s="11">
        <v>7.407407407407407E-2</v>
      </c>
      <c r="S197" s="11">
        <v>-0.81481481481481477</v>
      </c>
      <c r="T197" s="11">
        <v>0.18421052631578946</v>
      </c>
      <c r="U197" s="11">
        <v>-0.54545454545454541</v>
      </c>
      <c r="V197" s="11">
        <v>0</v>
      </c>
    </row>
    <row r="198" spans="1:22" ht="15.6" thickTop="1" thickBot="1" x14ac:dyDescent="0.35">
      <c r="A198" s="13">
        <v>8027900</v>
      </c>
      <c r="B198" s="6" t="s">
        <v>0</v>
      </c>
      <c r="C198" s="2" t="s">
        <v>407</v>
      </c>
      <c r="D198" s="23">
        <v>45103</v>
      </c>
      <c r="E198" s="23" t="s">
        <v>174</v>
      </c>
      <c r="F198" s="11">
        <v>-0.40005316321105794</v>
      </c>
      <c r="G198" s="11">
        <v>-3.9138943248532287E-3</v>
      </c>
      <c r="H198" s="11">
        <v>-2.0066889632107024E-2</v>
      </c>
      <c r="I198" s="11">
        <v>-0.12903225806451613</v>
      </c>
      <c r="J198" s="11">
        <v>-1.7291066282420751E-2</v>
      </c>
      <c r="K198" s="11">
        <v>-2.8169014084507043E-2</v>
      </c>
      <c r="L198" s="11">
        <v>1.5544041450777202E-2</v>
      </c>
      <c r="M198" s="11">
        <v>-7.8212290502793297E-2</v>
      </c>
      <c r="N198" s="11">
        <v>-2.4691358024691357E-2</v>
      </c>
      <c r="O198" s="11">
        <v>-2.6200873362445413E-2</v>
      </c>
      <c r="P198" s="11">
        <v>1.5503875968992248E-2</v>
      </c>
      <c r="Q198" s="11">
        <v>-0.4</v>
      </c>
      <c r="R198" s="11">
        <v>-0.70085470085470081</v>
      </c>
      <c r="S198" s="11">
        <v>0.45</v>
      </c>
      <c r="T198" s="11">
        <v>-6.8965517241379309E-2</v>
      </c>
      <c r="U198" s="11">
        <v>0</v>
      </c>
      <c r="V198" s="11">
        <v>0</v>
      </c>
    </row>
    <row r="199" spans="1:22" ht="15.6" thickTop="1" thickBot="1" x14ac:dyDescent="0.35">
      <c r="A199" s="13">
        <v>8039300</v>
      </c>
      <c r="B199" s="6" t="s">
        <v>11</v>
      </c>
      <c r="C199" s="2" t="s">
        <v>433</v>
      </c>
      <c r="D199" s="23">
        <v>45103</v>
      </c>
      <c r="E199" s="24" t="s">
        <v>177</v>
      </c>
      <c r="F199" s="11">
        <v>-0.10993176648976498</v>
      </c>
      <c r="G199" s="11">
        <v>-0.11435832274459974</v>
      </c>
      <c r="H199" s="11">
        <v>-0.18901098901098901</v>
      </c>
      <c r="I199" s="11">
        <v>-0.19834710743801653</v>
      </c>
      <c r="J199" s="11">
        <v>0</v>
      </c>
      <c r="K199" s="11">
        <v>-0.34343434343434343</v>
      </c>
      <c r="L199" s="11">
        <v>-0.12037037037037036</v>
      </c>
      <c r="M199" s="11">
        <v>-1.5625E-2</v>
      </c>
      <c r="N199" s="11">
        <v>-0.4</v>
      </c>
      <c r="O199" s="11">
        <v>-0.18779342723004694</v>
      </c>
      <c r="P199" s="11">
        <v>0.22222222222222221</v>
      </c>
      <c r="Q199" s="11">
        <v>-0.24299065420560748</v>
      </c>
      <c r="R199" s="11">
        <v>0.18181818181818182</v>
      </c>
      <c r="S199" s="11">
        <v>0.11764705882352941</v>
      </c>
      <c r="T199" s="11">
        <v>0</v>
      </c>
      <c r="U199" s="11">
        <v>0</v>
      </c>
      <c r="V199" s="11">
        <v>0</v>
      </c>
    </row>
    <row r="200" spans="1:22" ht="15.6" thickTop="1" thickBot="1" x14ac:dyDescent="0.35">
      <c r="A200" s="13">
        <v>9010660</v>
      </c>
      <c r="B200" s="6" t="s">
        <v>254</v>
      </c>
      <c r="C200" s="2" t="s">
        <v>337</v>
      </c>
      <c r="D200" s="59" t="s">
        <v>13</v>
      </c>
      <c r="E200" s="59" t="s">
        <v>13</v>
      </c>
    </row>
    <row r="201" spans="1:22" ht="15.6" thickTop="1" thickBot="1" x14ac:dyDescent="0.35">
      <c r="A201" s="13">
        <v>8017300</v>
      </c>
      <c r="B201" s="6" t="s">
        <v>51</v>
      </c>
      <c r="C201" s="2" t="s">
        <v>374</v>
      </c>
      <c r="D201" s="23">
        <v>45103</v>
      </c>
      <c r="E201" s="25" t="s">
        <v>177</v>
      </c>
      <c r="F201" s="11">
        <v>-9.9125364431486881E-2</v>
      </c>
      <c r="G201" s="11">
        <v>-4.5454545454545456E-2</v>
      </c>
      <c r="H201" s="11">
        <v>-0.13533834586466165</v>
      </c>
      <c r="I201" s="11" t="s">
        <v>13</v>
      </c>
      <c r="J201" s="11">
        <v>-0.23529411764705882</v>
      </c>
      <c r="K201" s="11">
        <v>-0.2857142857142857</v>
      </c>
      <c r="L201" s="11">
        <v>-1.2903225806451613E-2</v>
      </c>
      <c r="M201" s="11" t="s">
        <v>13</v>
      </c>
      <c r="N201" s="11" t="s">
        <v>13</v>
      </c>
      <c r="O201" s="11">
        <v>-7.7519379844961239E-2</v>
      </c>
      <c r="P201" s="11">
        <v>-2</v>
      </c>
      <c r="Q201" s="11" t="s">
        <v>13</v>
      </c>
      <c r="R201" s="11" t="s">
        <v>13</v>
      </c>
      <c r="S201" s="11" t="s">
        <v>13</v>
      </c>
      <c r="T201" s="11">
        <v>0</v>
      </c>
      <c r="U201" s="11">
        <v>2</v>
      </c>
      <c r="V201" s="11">
        <v>-0.43478260869565216</v>
      </c>
    </row>
    <row r="202" spans="1:22" ht="15.6" thickTop="1" thickBot="1" x14ac:dyDescent="0.35">
      <c r="A202" s="13">
        <v>8029200</v>
      </c>
      <c r="B202" s="6" t="s">
        <v>84</v>
      </c>
      <c r="C202" s="2" t="s">
        <v>412</v>
      </c>
      <c r="D202" s="23">
        <v>45117</v>
      </c>
      <c r="E202" s="25" t="s">
        <v>176</v>
      </c>
      <c r="F202" s="11">
        <v>-0.10764872521246459</v>
      </c>
      <c r="G202" s="11">
        <v>-6.8965517241379309E-2</v>
      </c>
      <c r="H202" s="11">
        <v>-0.17241379310344829</v>
      </c>
      <c r="I202" s="11">
        <v>-0.1111111111111111</v>
      </c>
      <c r="J202" s="11">
        <v>-7.407407407407407E-2</v>
      </c>
      <c r="K202" s="11">
        <v>-0.10526315789473684</v>
      </c>
      <c r="L202" s="11">
        <v>-6.5934065934065936E-2</v>
      </c>
      <c r="M202" s="11">
        <v>-6.25E-2</v>
      </c>
      <c r="N202" s="11">
        <v>0</v>
      </c>
      <c r="O202" s="11">
        <v>-7.8431372549019607E-2</v>
      </c>
      <c r="P202" s="11">
        <v>-1.2</v>
      </c>
      <c r="Q202" s="11">
        <v>-0.16666666666666666</v>
      </c>
      <c r="R202" s="11">
        <v>0</v>
      </c>
      <c r="S202" s="11">
        <v>0</v>
      </c>
      <c r="T202" s="11">
        <v>0</v>
      </c>
      <c r="U202" s="11">
        <v>0</v>
      </c>
      <c r="V202" s="11">
        <v>-0.18181818181818182</v>
      </c>
    </row>
    <row r="203" spans="1:22" ht="15.6" thickTop="1" thickBot="1" x14ac:dyDescent="0.35">
      <c r="A203" s="13">
        <v>8058100</v>
      </c>
      <c r="B203" s="6" t="s">
        <v>249</v>
      </c>
      <c r="C203" s="2" t="s">
        <v>332</v>
      </c>
      <c r="D203" s="24" t="s">
        <v>13</v>
      </c>
      <c r="E203" s="24" t="s">
        <v>13</v>
      </c>
    </row>
    <row r="204" spans="1:22" ht="15.6" thickTop="1" thickBot="1" x14ac:dyDescent="0.35">
      <c r="A204" s="13">
        <v>8054600</v>
      </c>
      <c r="B204" s="6" t="s">
        <v>238</v>
      </c>
      <c r="C204" s="2" t="s">
        <v>320</v>
      </c>
      <c r="D204" s="59" t="s">
        <v>13</v>
      </c>
      <c r="E204" s="59" t="s">
        <v>13</v>
      </c>
    </row>
    <row r="205" spans="1:22" ht="15.6" thickTop="1" thickBot="1" x14ac:dyDescent="0.35">
      <c r="A205" s="13">
        <v>8058015</v>
      </c>
      <c r="B205" s="6" t="s">
        <v>248</v>
      </c>
      <c r="C205" s="2" t="s">
        <v>331</v>
      </c>
      <c r="D205" s="59" t="s">
        <v>13</v>
      </c>
      <c r="E205" s="59" t="s">
        <v>13</v>
      </c>
    </row>
    <row r="206" spans="1:22" ht="15.6" thickTop="1" thickBot="1" x14ac:dyDescent="0.35">
      <c r="A206" s="13">
        <v>8058010</v>
      </c>
      <c r="B206" s="6" t="s">
        <v>247</v>
      </c>
      <c r="C206" s="2" t="s">
        <v>330</v>
      </c>
      <c r="D206" s="24" t="s">
        <v>13</v>
      </c>
      <c r="E206" s="24" t="s">
        <v>13</v>
      </c>
    </row>
    <row r="207" spans="1:22" ht="15.6" thickTop="1" thickBot="1" x14ac:dyDescent="0.35">
      <c r="A207" s="13">
        <v>8027200</v>
      </c>
      <c r="B207" s="6" t="s">
        <v>518</v>
      </c>
      <c r="C207" s="2" t="s">
        <v>404</v>
      </c>
      <c r="D207" s="23">
        <v>45107</v>
      </c>
      <c r="E207" s="24" t="s">
        <v>174</v>
      </c>
      <c r="F207" s="11">
        <v>-0.34646856158484063</v>
      </c>
      <c r="G207" s="11">
        <v>-3.4228187919463089E-2</v>
      </c>
      <c r="H207" s="11">
        <v>-5.4504163512490537E-2</v>
      </c>
      <c r="I207" s="11">
        <v>-3.5775127768313458E-2</v>
      </c>
      <c r="J207" s="11">
        <v>-6.0218978102189784E-2</v>
      </c>
      <c r="K207" s="11">
        <v>-4.878048780487805E-2</v>
      </c>
      <c r="L207" s="11">
        <v>-3.614457831325301E-2</v>
      </c>
      <c r="M207" s="11">
        <v>-1.4634146341463415E-2</v>
      </c>
      <c r="N207" s="11">
        <v>-4.6296296296296294E-2</v>
      </c>
      <c r="O207" s="11">
        <v>-5.5710306406685235E-2</v>
      </c>
      <c r="P207" s="11">
        <v>-5.1470588235294115E-2</v>
      </c>
      <c r="Q207" s="11">
        <v>-0.49268292682926829</v>
      </c>
      <c r="R207" s="11">
        <v>5.3140096618357488E-2</v>
      </c>
      <c r="S207" s="11">
        <v>0.39428571428571429</v>
      </c>
      <c r="T207" s="11">
        <v>-3.0534351145038167E-2</v>
      </c>
      <c r="U207" s="11">
        <v>8.4388185654008432E-3</v>
      </c>
      <c r="V207" s="11">
        <v>-0.17222222222222222</v>
      </c>
    </row>
    <row r="208" spans="1:22" ht="15.6" thickTop="1" thickBot="1" x14ac:dyDescent="0.35">
      <c r="A208" s="13">
        <v>8048400</v>
      </c>
      <c r="B208" s="6" t="s">
        <v>219</v>
      </c>
      <c r="C208" s="2" t="s">
        <v>301</v>
      </c>
      <c r="D208" s="59" t="s">
        <v>13</v>
      </c>
      <c r="E208" s="59" t="s">
        <v>13</v>
      </c>
    </row>
    <row r="209" spans="1:22" ht="15.6" thickTop="1" thickBot="1" x14ac:dyDescent="0.35">
      <c r="A209" s="13">
        <v>8000400</v>
      </c>
      <c r="B209" s="6" t="s">
        <v>28</v>
      </c>
      <c r="C209" s="2" t="s">
        <v>344</v>
      </c>
      <c r="D209" s="23">
        <v>45099</v>
      </c>
      <c r="E209" s="25" t="s">
        <v>177</v>
      </c>
      <c r="F209" s="11">
        <v>-0.15101289134438306</v>
      </c>
      <c r="G209" s="11">
        <v>-0.4277456647398844</v>
      </c>
      <c r="H209" s="11">
        <v>-5.6497175141242938E-2</v>
      </c>
      <c r="I209" s="11">
        <v>-5.7142857142857141E-2</v>
      </c>
      <c r="J209" s="11">
        <v>4.878048780487805E-2</v>
      </c>
      <c r="K209" s="11">
        <v>0.967741935483871</v>
      </c>
      <c r="L209" s="11">
        <v>-1.6666666666666667</v>
      </c>
      <c r="M209" s="11">
        <v>-0.35897435897435898</v>
      </c>
      <c r="N209" s="11">
        <v>0.13333333333333333</v>
      </c>
      <c r="O209" s="11">
        <v>-1.9459459459459461</v>
      </c>
      <c r="P209" s="11">
        <v>1.5</v>
      </c>
      <c r="Q209" s="11">
        <v>0.22222222222222221</v>
      </c>
      <c r="R209" s="11">
        <v>-6.4516129032258063E-2</v>
      </c>
      <c r="S209" s="11">
        <v>-0.2857142857142857</v>
      </c>
      <c r="T209" s="11">
        <v>0.10526315789473684</v>
      </c>
      <c r="U209" s="11">
        <v>6.0606060606060608E-2</v>
      </c>
      <c r="V209" s="11">
        <v>-0.10526315789473684</v>
      </c>
    </row>
    <row r="210" spans="1:22" ht="15.6" thickTop="1" thickBot="1" x14ac:dyDescent="0.35">
      <c r="A210" s="13">
        <v>8033700</v>
      </c>
      <c r="B210" s="6" t="s">
        <v>89</v>
      </c>
      <c r="C210" s="2" t="s">
        <v>419</v>
      </c>
      <c r="D210" s="23">
        <v>45114</v>
      </c>
      <c r="E210" s="25" t="s">
        <v>177</v>
      </c>
      <c r="F210" s="11">
        <v>-3.9024390243902439E-2</v>
      </c>
      <c r="G210" s="11">
        <v>4.2553191489361701E-2</v>
      </c>
      <c r="H210" s="11">
        <v>-3.2786885245901641E-2</v>
      </c>
      <c r="I210" s="11">
        <v>-4.5602605863192182E-2</v>
      </c>
      <c r="J210" s="11">
        <v>-7.0739549839228297E-2</v>
      </c>
      <c r="K210" s="11">
        <v>0.21276595744680851</v>
      </c>
      <c r="L210" s="11">
        <v>-6.0606060606060608E-2</v>
      </c>
      <c r="M210" s="11">
        <v>-3.2786885245901641E-2</v>
      </c>
      <c r="N210" s="11">
        <v>-0.66666666666666663</v>
      </c>
      <c r="O210" s="11">
        <v>0</v>
      </c>
      <c r="P210" s="11">
        <v>0</v>
      </c>
      <c r="Q210" s="11">
        <v>-0.2608695652173913</v>
      </c>
      <c r="R210" s="11">
        <v>4.7244094488188976E-2</v>
      </c>
      <c r="S210" s="11">
        <v>-2</v>
      </c>
      <c r="T210" s="11">
        <v>0</v>
      </c>
      <c r="U210" s="11">
        <v>8.7591240875912413E-2</v>
      </c>
      <c r="V210" s="11">
        <v>-1.84</v>
      </c>
    </row>
    <row r="211" spans="1:22" ht="15.6" thickTop="1" thickBot="1" x14ac:dyDescent="0.35">
      <c r="A211" s="13">
        <v>8033800</v>
      </c>
      <c r="B211" s="6" t="s">
        <v>90</v>
      </c>
      <c r="C211" s="2" t="s">
        <v>420</v>
      </c>
      <c r="D211" s="23">
        <v>45114</v>
      </c>
      <c r="E211" s="25" t="s">
        <v>176</v>
      </c>
      <c r="F211" s="11">
        <v>-1.82370820668693E-2</v>
      </c>
      <c r="G211" s="11">
        <v>-9.0909090909090912E-2</v>
      </c>
      <c r="H211" s="11">
        <v>8.3333333333333329E-2</v>
      </c>
      <c r="I211" s="11">
        <v>-5.2830188679245285E-2</v>
      </c>
      <c r="J211" s="11">
        <v>0</v>
      </c>
      <c r="K211" s="11">
        <v>0</v>
      </c>
      <c r="L211" s="11">
        <v>-9.5238095238095233E-2</v>
      </c>
      <c r="M211" s="11">
        <v>-0.4</v>
      </c>
      <c r="N211" s="11">
        <v>0.13333333333333333</v>
      </c>
      <c r="O211" s="11">
        <v>0.15384615384615385</v>
      </c>
      <c r="P211" s="11">
        <v>0</v>
      </c>
      <c r="Q211" s="11">
        <v>-0.66666666666666663</v>
      </c>
      <c r="R211" s="11">
        <v>-3.3613445378151259E-2</v>
      </c>
      <c r="S211" s="11">
        <v>0</v>
      </c>
      <c r="T211" s="11">
        <v>0</v>
      </c>
      <c r="U211" s="11">
        <v>0</v>
      </c>
      <c r="V211" s="11">
        <v>0</v>
      </c>
    </row>
    <row r="212" spans="1:22" ht="15.6" thickTop="1" thickBot="1" x14ac:dyDescent="0.35">
      <c r="A212" s="13">
        <v>8033900</v>
      </c>
      <c r="B212" s="6" t="s">
        <v>91</v>
      </c>
      <c r="C212" s="2" t="s">
        <v>421</v>
      </c>
      <c r="D212" s="23">
        <v>45114</v>
      </c>
      <c r="E212" s="25" t="s">
        <v>176</v>
      </c>
      <c r="F212" s="11">
        <v>-1.3947001394700139E-2</v>
      </c>
      <c r="G212" s="11">
        <v>-0.43902439024390244</v>
      </c>
      <c r="H212" s="11">
        <v>0</v>
      </c>
      <c r="I212" s="11">
        <v>1.6348773841961851E-2</v>
      </c>
      <c r="J212" s="11">
        <v>7.0671378091872791E-3</v>
      </c>
      <c r="K212" s="11">
        <v>-0.11764705882352941</v>
      </c>
      <c r="L212" s="11">
        <v>-0.66666666666666663</v>
      </c>
      <c r="M212" s="11">
        <v>-0.66666666666666663</v>
      </c>
      <c r="N212" s="11">
        <v>-0.66666666666666663</v>
      </c>
      <c r="O212" s="11">
        <v>0.11764705882352941</v>
      </c>
      <c r="P212" s="11">
        <v>0.66666666666666663</v>
      </c>
      <c r="Q212" s="11">
        <v>-0.1111111111111111</v>
      </c>
      <c r="R212" s="11">
        <v>2.4390243902439025E-2</v>
      </c>
      <c r="S212" s="11">
        <v>0.66666666666666663</v>
      </c>
      <c r="T212" s="11">
        <v>0</v>
      </c>
      <c r="U212" s="11">
        <v>-8.1632653061224497E-3</v>
      </c>
      <c r="V212" s="11">
        <v>0.14285714285714285</v>
      </c>
    </row>
    <row r="213" spans="1:22" ht="15.6" thickTop="1" thickBot="1" x14ac:dyDescent="0.35">
      <c r="A213" s="13">
        <v>8034400</v>
      </c>
      <c r="B213" s="6" t="s">
        <v>6</v>
      </c>
      <c r="C213" s="2" t="s">
        <v>423</v>
      </c>
      <c r="D213" s="23">
        <v>45104</v>
      </c>
      <c r="E213" s="24" t="s">
        <v>174</v>
      </c>
      <c r="F213" s="11">
        <v>-0.2603719599427754</v>
      </c>
      <c r="G213" s="11">
        <v>-0.44359999999999999</v>
      </c>
      <c r="H213" s="11">
        <v>-2.7E-2</v>
      </c>
      <c r="I213" s="11">
        <v>0</v>
      </c>
      <c r="J213" s="11">
        <v>0.15379999999999999</v>
      </c>
      <c r="K213" s="11">
        <v>-0.85709999999999997</v>
      </c>
      <c r="L213" s="11">
        <v>-0.59309999999999996</v>
      </c>
      <c r="M213" s="11">
        <v>-0.24390000000000001</v>
      </c>
      <c r="N213" s="11">
        <v>0</v>
      </c>
      <c r="O213" s="11">
        <v>-4.4400000000000002E-2</v>
      </c>
      <c r="P213" s="11">
        <v>0.66669999999999996</v>
      </c>
      <c r="Q213" s="11">
        <v>7.4099999999999999E-2</v>
      </c>
      <c r="R213" s="11">
        <v>-0.66669999999999996</v>
      </c>
      <c r="S213" s="11">
        <v>0</v>
      </c>
      <c r="T213" s="11">
        <v>0</v>
      </c>
      <c r="U213" s="11">
        <v>0.66669999999999996</v>
      </c>
      <c r="V213" s="11">
        <v>0</v>
      </c>
    </row>
    <row r="214" spans="1:22" ht="15.6" thickTop="1" thickBot="1" x14ac:dyDescent="0.35">
      <c r="A214" s="13">
        <v>8047600</v>
      </c>
      <c r="B214" s="6" t="s">
        <v>23</v>
      </c>
      <c r="C214" s="2" t="s">
        <v>449</v>
      </c>
      <c r="D214" s="23">
        <v>45104</v>
      </c>
      <c r="E214" s="23" t="s">
        <v>177</v>
      </c>
      <c r="F214" s="11">
        <v>-3.6617725101715903E-2</v>
      </c>
      <c r="G214" s="11">
        <v>-7.1400000000000005E-2</v>
      </c>
      <c r="H214" s="11">
        <v>-0.1017</v>
      </c>
      <c r="I214" s="11">
        <v>-1.2999999999999999E-2</v>
      </c>
      <c r="J214" s="11">
        <v>0.04</v>
      </c>
      <c r="K214" s="11">
        <v>-6.9000000000000006E-2</v>
      </c>
      <c r="L214" s="11">
        <v>0.2</v>
      </c>
      <c r="M214" s="11">
        <v>-0.85709999999999997</v>
      </c>
      <c r="N214" s="11">
        <v>-0.16669999999999999</v>
      </c>
      <c r="O214" s="11">
        <v>0.33329999999999999</v>
      </c>
      <c r="P214" s="11">
        <v>-0.26090000000000002</v>
      </c>
      <c r="Q214" s="11">
        <v>0</v>
      </c>
      <c r="R214" s="11">
        <v>-1.43E-2</v>
      </c>
      <c r="S214" s="11">
        <v>0</v>
      </c>
      <c r="T214" s="11">
        <v>0</v>
      </c>
      <c r="U214" s="11">
        <v>4.5199999999999997E-2</v>
      </c>
      <c r="V214" s="11">
        <v>4.8800000000000003E-2</v>
      </c>
    </row>
    <row r="215" spans="1:22" ht="15.6" thickTop="1" thickBot="1" x14ac:dyDescent="0.35">
      <c r="A215" s="13">
        <v>8057845</v>
      </c>
      <c r="B215" s="6" t="s">
        <v>150</v>
      </c>
      <c r="C215" s="2" t="s">
        <v>489</v>
      </c>
      <c r="D215" s="23">
        <v>45357</v>
      </c>
      <c r="E215" s="25" t="s">
        <v>177</v>
      </c>
      <c r="F215" s="11">
        <v>-0.40163934426229508</v>
      </c>
      <c r="G215" s="11" t="s">
        <v>13</v>
      </c>
      <c r="H215" s="11">
        <v>-0.18867924528301888</v>
      </c>
      <c r="I215" s="11">
        <v>-0.42323651452282157</v>
      </c>
      <c r="J215" s="11">
        <v>-0.40479041916167663</v>
      </c>
      <c r="K215" s="11" t="s">
        <v>13</v>
      </c>
      <c r="L215" s="11" t="s">
        <v>13</v>
      </c>
      <c r="M215" s="11" t="s">
        <v>13</v>
      </c>
      <c r="N215" s="11">
        <v>-1.1627906976744187</v>
      </c>
      <c r="O215" s="11">
        <v>2</v>
      </c>
      <c r="P215" s="11">
        <v>-0.23157894736842105</v>
      </c>
      <c r="Q215" s="11">
        <v>2</v>
      </c>
      <c r="R215" s="11">
        <v>-0.33210332103321033</v>
      </c>
      <c r="S215" s="11">
        <v>-1.9540229885057472</v>
      </c>
      <c r="T215" s="11">
        <v>0</v>
      </c>
      <c r="U215" s="11">
        <v>-0.427307206068268</v>
      </c>
      <c r="V215" s="11" t="s">
        <v>13</v>
      </c>
    </row>
    <row r="216" spans="1:22" ht="15.6" thickTop="1" thickBot="1" x14ac:dyDescent="0.35">
      <c r="A216" s="13">
        <v>8033600</v>
      </c>
      <c r="B216" s="6" t="s">
        <v>88</v>
      </c>
      <c r="C216" s="2" t="s">
        <v>418</v>
      </c>
      <c r="D216" s="23">
        <v>45126</v>
      </c>
      <c r="E216" s="25" t="s">
        <v>176</v>
      </c>
      <c r="F216" s="11">
        <v>-3.6036036036036036E-2</v>
      </c>
      <c r="G216" s="11">
        <v>4.0816326530612242E-2</v>
      </c>
      <c r="H216" s="11" t="s">
        <v>13</v>
      </c>
      <c r="I216" s="11">
        <v>1.4285714285714285E-2</v>
      </c>
      <c r="J216" s="11">
        <v>-8.9020771513353122E-2</v>
      </c>
      <c r="K216" s="11">
        <v>0</v>
      </c>
      <c r="L216" s="11" t="s">
        <v>13</v>
      </c>
      <c r="M216" s="11">
        <v>0.15384615384615385</v>
      </c>
      <c r="N216" s="11" t="s">
        <v>13</v>
      </c>
      <c r="O216" s="11" t="s">
        <v>13</v>
      </c>
      <c r="P216" s="11" t="s">
        <v>13</v>
      </c>
      <c r="Q216" s="11">
        <v>0</v>
      </c>
      <c r="R216" s="11">
        <v>1.4705882352941176E-2</v>
      </c>
      <c r="S216" s="11" t="s">
        <v>13</v>
      </c>
      <c r="T216" s="11">
        <v>2</v>
      </c>
      <c r="U216" s="11">
        <v>-5.7613168724279837E-2</v>
      </c>
      <c r="V216" s="11">
        <v>-0.19354838709677419</v>
      </c>
    </row>
    <row r="217" spans="1:22" ht="15.6" thickTop="1" thickBot="1" x14ac:dyDescent="0.35">
      <c r="A217" s="13">
        <v>8034700</v>
      </c>
      <c r="B217" s="6" t="s">
        <v>205</v>
      </c>
      <c r="C217" s="2" t="s">
        <v>287</v>
      </c>
      <c r="D217" s="23">
        <v>45386</v>
      </c>
      <c r="E217" s="24" t="s">
        <v>177</v>
      </c>
      <c r="F217" s="11">
        <v>1.6004267804747934E-3</v>
      </c>
      <c r="G217" s="11">
        <v>-0.12518195050946143</v>
      </c>
      <c r="H217" s="11">
        <v>-6.7114093959731544E-2</v>
      </c>
      <c r="I217" s="11">
        <v>1.3043478260869565E-2</v>
      </c>
      <c r="J217" s="11">
        <v>0.13648771610555049</v>
      </c>
      <c r="K217" s="11">
        <v>-0.31111111111111112</v>
      </c>
      <c r="L217" s="11">
        <v>-9.4420600858369105E-2</v>
      </c>
      <c r="M217" s="11">
        <v>-0.15909090909090909</v>
      </c>
      <c r="N217" s="11">
        <v>1.0567685589519651</v>
      </c>
      <c r="O217" s="11">
        <v>-0.53140096618357491</v>
      </c>
      <c r="P217" s="11">
        <v>-0.23</v>
      </c>
      <c r="Q217" s="11">
        <v>9.9009900990099015E-2</v>
      </c>
      <c r="R217" s="11">
        <v>-1.2738853503184714E-2</v>
      </c>
      <c r="S217" s="11">
        <v>0</v>
      </c>
      <c r="T217" s="11">
        <v>0.14977973568281938</v>
      </c>
      <c r="U217" s="11">
        <v>-0.10894941634241245</v>
      </c>
      <c r="V217" s="11">
        <v>1.0534351145038168</v>
      </c>
    </row>
    <row r="218" spans="1:22" ht="15.6" thickTop="1" thickBot="1" x14ac:dyDescent="0.35">
      <c r="A218" s="13">
        <v>8034900</v>
      </c>
      <c r="B218" s="6" t="s">
        <v>93</v>
      </c>
      <c r="C218" s="2" t="s">
        <v>424</v>
      </c>
      <c r="D218" s="23">
        <v>45119</v>
      </c>
      <c r="E218" s="25" t="s">
        <v>176</v>
      </c>
      <c r="F218" s="11">
        <v>-2.5899280575539568E-2</v>
      </c>
      <c r="G218" s="11">
        <v>2.6666666666666668E-2</v>
      </c>
      <c r="H218" s="11">
        <v>-0.15686274509803921</v>
      </c>
      <c r="I218" s="11">
        <v>0.21176470588235294</v>
      </c>
      <c r="J218" s="11">
        <v>-5.5248618784530384E-2</v>
      </c>
      <c r="K218" s="11">
        <v>0</v>
      </c>
      <c r="L218" s="11">
        <v>0.10650887573964497</v>
      </c>
      <c r="M218" s="11">
        <v>-1.2</v>
      </c>
      <c r="N218" s="11">
        <v>-1.3846153846153846</v>
      </c>
      <c r="O218" s="11">
        <v>3.1746031746031744E-2</v>
      </c>
      <c r="P218" s="11">
        <v>0</v>
      </c>
      <c r="Q218" s="11">
        <v>0</v>
      </c>
      <c r="R218" s="11">
        <v>0.8936170212765957</v>
      </c>
      <c r="S218" s="11">
        <v>-0.8</v>
      </c>
      <c r="T218" s="11">
        <v>0.22680412371134021</v>
      </c>
      <c r="U218" s="11">
        <v>0</v>
      </c>
      <c r="V218" s="11">
        <v>-0.88888888888888884</v>
      </c>
    </row>
    <row r="219" spans="1:22" ht="15.6" thickTop="1" thickBot="1" x14ac:dyDescent="0.35">
      <c r="A219" s="13">
        <v>8034500</v>
      </c>
      <c r="B219" s="6" t="s">
        <v>204</v>
      </c>
      <c r="C219" s="2" t="s">
        <v>286</v>
      </c>
      <c r="D219" s="23">
        <v>45385</v>
      </c>
      <c r="E219" s="24" t="s">
        <v>177</v>
      </c>
      <c r="F219" s="11">
        <v>0.10777115944036571</v>
      </c>
      <c r="G219" s="11">
        <v>-0.1933152664859982</v>
      </c>
      <c r="H219" s="11">
        <v>-9.4023904382470117E-2</v>
      </c>
      <c r="I219" s="11">
        <v>-0.1226932668329177</v>
      </c>
      <c r="J219" s="11">
        <v>-0.19929185634800203</v>
      </c>
      <c r="K219" s="11">
        <v>-0.6733668341708543</v>
      </c>
      <c r="L219" s="11">
        <v>-3.3898305084745763E-2</v>
      </c>
      <c r="M219" s="11">
        <v>-0.28000000000000003</v>
      </c>
      <c r="N219" s="11">
        <v>7.5085324232081918E-2</v>
      </c>
      <c r="O219" s="11">
        <v>8.8549618320610687E-2</v>
      </c>
      <c r="P219" s="11">
        <v>-0.64495114006514653</v>
      </c>
      <c r="Q219" s="11">
        <v>-4.0816326530612242E-2</v>
      </c>
      <c r="R219" s="11">
        <v>-0.13250000000000001</v>
      </c>
      <c r="S219" s="11">
        <v>-0.10852713178294573</v>
      </c>
      <c r="T219" s="11">
        <v>-0.47435897435897434</v>
      </c>
      <c r="U219" s="11">
        <v>-3.9616613418530351E-2</v>
      </c>
      <c r="V219" s="11">
        <v>-1.84</v>
      </c>
    </row>
    <row r="220" spans="1:22" ht="15.6" thickTop="1" thickBot="1" x14ac:dyDescent="0.35">
      <c r="A220" s="13">
        <v>9010560</v>
      </c>
      <c r="B220" s="6" t="s">
        <v>152</v>
      </c>
      <c r="C220" s="2" t="s">
        <v>492</v>
      </c>
      <c r="D220" s="23">
        <v>45121</v>
      </c>
      <c r="E220" s="25" t="s">
        <v>174</v>
      </c>
      <c r="F220" s="11">
        <v>-0.13953488372093023</v>
      </c>
      <c r="G220" s="11" t="s">
        <v>13</v>
      </c>
      <c r="H220" s="11">
        <v>-0.13978494623655913</v>
      </c>
      <c r="I220" s="11">
        <v>-0.24836601307189543</v>
      </c>
      <c r="J220" s="11">
        <v>0</v>
      </c>
      <c r="K220" s="11" t="s">
        <v>13</v>
      </c>
      <c r="L220" s="11" t="s">
        <v>13</v>
      </c>
      <c r="M220" s="11" t="s">
        <v>13</v>
      </c>
      <c r="N220" s="11">
        <v>1</v>
      </c>
      <c r="O220" s="11">
        <v>-0.17971014492753623</v>
      </c>
      <c r="P220" s="11">
        <v>-0.13333333333333333</v>
      </c>
      <c r="Q220" s="11">
        <v>-0.2857142857142857</v>
      </c>
      <c r="R220" s="11">
        <v>-0.2</v>
      </c>
      <c r="S220" s="11">
        <v>2</v>
      </c>
      <c r="T220" s="11" t="s">
        <v>13</v>
      </c>
      <c r="U220" s="11">
        <v>2.0202020202020204E-2</v>
      </c>
      <c r="V220" s="11">
        <v>-9.5238095238095233E-2</v>
      </c>
    </row>
    <row r="221" spans="1:22" ht="15.6" thickTop="1" thickBot="1" x14ac:dyDescent="0.35">
      <c r="A221" s="13">
        <v>9010570</v>
      </c>
      <c r="B221" s="6" t="s">
        <v>153</v>
      </c>
      <c r="C221" s="2" t="s">
        <v>493</v>
      </c>
      <c r="D221" s="23">
        <v>45124</v>
      </c>
      <c r="E221" s="25" t="s">
        <v>176</v>
      </c>
      <c r="F221" s="11">
        <v>-0.23112480739599384</v>
      </c>
      <c r="G221" s="11">
        <v>-0.30103092783505153</v>
      </c>
      <c r="H221" s="11" t="s">
        <v>13</v>
      </c>
      <c r="I221" s="11">
        <v>-7.407407407407407E-2</v>
      </c>
      <c r="J221" s="11">
        <v>2.4096385542168676E-2</v>
      </c>
      <c r="K221" s="11">
        <v>0.5714285714285714</v>
      </c>
      <c r="L221" s="11">
        <v>-0.4020356234096692</v>
      </c>
      <c r="M221" s="11">
        <v>5.128205128205128E-2</v>
      </c>
      <c r="N221" s="11" t="s">
        <v>13</v>
      </c>
      <c r="O221" s="11" t="s">
        <v>13</v>
      </c>
      <c r="P221" s="11" t="s">
        <v>13</v>
      </c>
      <c r="Q221" s="11" t="s">
        <v>13</v>
      </c>
      <c r="R221" s="11">
        <v>-6.0606060606060608E-2</v>
      </c>
      <c r="S221" s="11">
        <v>-8.3333333333333329E-2</v>
      </c>
      <c r="T221" s="11">
        <v>-9.5238095238095233E-2</v>
      </c>
      <c r="U221" s="11">
        <v>6.4516129032258063E-2</v>
      </c>
      <c r="V221" s="11" t="s">
        <v>13</v>
      </c>
    </row>
    <row r="222" spans="1:22" ht="15.6" thickTop="1" thickBot="1" x14ac:dyDescent="0.35">
      <c r="A222" s="13">
        <v>8039700</v>
      </c>
      <c r="B222" s="6" t="s">
        <v>24</v>
      </c>
      <c r="C222" s="2" t="s">
        <v>435</v>
      </c>
      <c r="D222" s="23">
        <v>45104</v>
      </c>
      <c r="E222" s="24" t="s">
        <v>177</v>
      </c>
      <c r="F222" s="11">
        <v>-4.1979949874686714E-2</v>
      </c>
      <c r="G222" s="11">
        <v>-6.59E-2</v>
      </c>
      <c r="H222" s="11">
        <v>-3.6999999999999998E-2</v>
      </c>
      <c r="I222" s="11">
        <v>-0.16839999999999999</v>
      </c>
      <c r="J222" s="11">
        <v>-0.30509999999999998</v>
      </c>
      <c r="K222" s="11">
        <v>-0.1961</v>
      </c>
      <c r="L222" s="11">
        <v>0.15079999999999999</v>
      </c>
      <c r="M222" s="11">
        <v>-1.6521999999999999</v>
      </c>
      <c r="N222" s="11">
        <v>0</v>
      </c>
      <c r="O222" s="11">
        <v>2.3300000000000001E-2</v>
      </c>
      <c r="P222" s="11">
        <v>-0.85709999999999997</v>
      </c>
      <c r="Q222" s="11">
        <v>0</v>
      </c>
      <c r="R222" s="11">
        <v>0.10340000000000001</v>
      </c>
      <c r="S222" s="11">
        <v>-2</v>
      </c>
      <c r="T222" s="11">
        <v>6.0600000000000001E-2</v>
      </c>
      <c r="U222" s="11">
        <v>9.5200000000000007E-2</v>
      </c>
      <c r="V222" s="11">
        <v>-2</v>
      </c>
    </row>
    <row r="223" spans="1:22" ht="15.6" thickTop="1" thickBot="1" x14ac:dyDescent="0.35">
      <c r="A223" s="13">
        <v>9010760</v>
      </c>
      <c r="B223" s="6" t="s">
        <v>155</v>
      </c>
      <c r="C223" s="2" t="s">
        <v>495</v>
      </c>
      <c r="D223" s="23">
        <v>45124</v>
      </c>
      <c r="E223" s="25" t="s">
        <v>176</v>
      </c>
      <c r="F223" s="11">
        <v>-0.31238779174147219</v>
      </c>
      <c r="G223" s="11">
        <v>-0.32797427652733119</v>
      </c>
      <c r="H223" s="11">
        <v>-6.0606060606060608E-2</v>
      </c>
      <c r="I223" s="11">
        <v>-0.89855072463768115</v>
      </c>
      <c r="J223" s="11">
        <v>0</v>
      </c>
      <c r="K223" s="11">
        <v>0</v>
      </c>
      <c r="L223" s="11">
        <v>-6.25E-2</v>
      </c>
      <c r="M223" s="11">
        <v>-1.9111111111111112</v>
      </c>
      <c r="N223" s="11">
        <v>0</v>
      </c>
      <c r="O223" s="11">
        <v>0</v>
      </c>
      <c r="P223" s="11">
        <v>-2</v>
      </c>
      <c r="Q223" s="11">
        <v>-1</v>
      </c>
      <c r="R223" s="11">
        <v>0</v>
      </c>
      <c r="S223" s="11">
        <v>-2</v>
      </c>
      <c r="T223" s="11">
        <v>0</v>
      </c>
      <c r="U223" s="11">
        <v>0</v>
      </c>
      <c r="V223" s="11">
        <v>0</v>
      </c>
    </row>
    <row r="224" spans="1:22" ht="15.6" thickTop="1" thickBot="1" x14ac:dyDescent="0.35">
      <c r="A224" s="13">
        <v>8059010</v>
      </c>
      <c r="B224" s="6" t="s">
        <v>250</v>
      </c>
      <c r="C224" s="2" t="s">
        <v>333</v>
      </c>
      <c r="D224" s="24" t="s">
        <v>13</v>
      </c>
      <c r="E224" s="24" t="s">
        <v>13</v>
      </c>
    </row>
    <row r="225" spans="1:22" ht="15.6" thickTop="1" thickBot="1" x14ac:dyDescent="0.35">
      <c r="A225" s="13">
        <v>8056550</v>
      </c>
      <c r="B225" s="6" t="s">
        <v>138</v>
      </c>
      <c r="C225" s="2" t="s">
        <v>478</v>
      </c>
      <c r="D225" s="23">
        <v>45120</v>
      </c>
      <c r="E225" s="25" t="s">
        <v>177</v>
      </c>
      <c r="F225" s="11">
        <v>-8.98876404494382E-2</v>
      </c>
      <c r="G225" s="11">
        <v>-0.32804232804232802</v>
      </c>
      <c r="H225" s="11">
        <v>0.15510204081632653</v>
      </c>
      <c r="I225" s="11">
        <v>-0.24</v>
      </c>
      <c r="J225" s="11" t="s">
        <v>13</v>
      </c>
      <c r="K225" s="11" t="s">
        <v>13</v>
      </c>
      <c r="L225" s="11">
        <v>-8.9552238805970144E-2</v>
      </c>
      <c r="M225" s="11">
        <v>-0.90909090909090906</v>
      </c>
      <c r="N225" s="11">
        <v>-0.19354838709677419</v>
      </c>
      <c r="O225" s="11">
        <v>0.2541436464088398</v>
      </c>
      <c r="P225" s="11">
        <v>2</v>
      </c>
      <c r="Q225" s="11">
        <v>5.128205128205128E-2</v>
      </c>
      <c r="R225" s="11" t="s">
        <v>13</v>
      </c>
      <c r="S225" s="11">
        <v>-0.42622950819672129</v>
      </c>
      <c r="T225" s="11" t="s">
        <v>13</v>
      </c>
      <c r="U225" s="11" t="s">
        <v>13</v>
      </c>
      <c r="V225" s="11" t="s">
        <v>13</v>
      </c>
    </row>
    <row r="226" spans="1:22" ht="15.6" thickTop="1" thickBot="1" x14ac:dyDescent="0.35">
      <c r="A226" s="13">
        <v>8057895</v>
      </c>
      <c r="B226" s="6" t="s">
        <v>243</v>
      </c>
      <c r="C226" s="2" t="s">
        <v>326</v>
      </c>
      <c r="D226" s="59" t="s">
        <v>13</v>
      </c>
      <c r="E226" s="59" t="s">
        <v>13</v>
      </c>
    </row>
    <row r="227" spans="1:22" ht="15.6" thickTop="1" thickBot="1" x14ac:dyDescent="0.35">
      <c r="A227" s="13">
        <v>8057900</v>
      </c>
      <c r="B227" s="6" t="s">
        <v>244</v>
      </c>
      <c r="C227" s="2" t="s">
        <v>327</v>
      </c>
      <c r="D227" s="24" t="s">
        <v>13</v>
      </c>
      <c r="E227" s="24" t="s">
        <v>13</v>
      </c>
    </row>
    <row r="228" spans="1:22" ht="15.6" thickTop="1" thickBot="1" x14ac:dyDescent="0.35">
      <c r="A228" s="13">
        <v>8057890</v>
      </c>
      <c r="B228" s="6" t="s">
        <v>242</v>
      </c>
      <c r="C228" s="2" t="s">
        <v>325</v>
      </c>
      <c r="D228" s="24" t="s">
        <v>13</v>
      </c>
      <c r="E228" s="24" t="s">
        <v>13</v>
      </c>
    </row>
    <row r="229" spans="1:22" ht="15.6" thickTop="1" thickBot="1" x14ac:dyDescent="0.35">
      <c r="A229" s="13">
        <v>8033400</v>
      </c>
      <c r="B229" s="6" t="s">
        <v>202</v>
      </c>
      <c r="C229" s="2" t="s">
        <v>284</v>
      </c>
      <c r="D229" s="23">
        <v>45763</v>
      </c>
      <c r="E229" s="32">
        <v>0.32291666666666669</v>
      </c>
      <c r="F229" s="11">
        <v>-0.1188</v>
      </c>
      <c r="G229" s="11">
        <v>-1.0200000000000001E-2</v>
      </c>
      <c r="H229" s="11">
        <v>-0.2452</v>
      </c>
      <c r="I229" s="11">
        <v>0</v>
      </c>
      <c r="J229" s="11">
        <v>-0.1565</v>
      </c>
      <c r="K229" s="11">
        <v>-0.6</v>
      </c>
      <c r="L229" s="11">
        <v>-4.7600000000000003E-2</v>
      </c>
      <c r="M229" s="11">
        <v>2</v>
      </c>
      <c r="N229" s="11">
        <v>-1.5</v>
      </c>
      <c r="O229" s="11">
        <v>0.1913</v>
      </c>
      <c r="P229" s="11">
        <v>0</v>
      </c>
      <c r="Q229" s="11">
        <v>0</v>
      </c>
      <c r="R229" s="11">
        <v>0</v>
      </c>
      <c r="S229" s="11">
        <v>0</v>
      </c>
      <c r="T229" s="11">
        <v>-0.85709999999999997</v>
      </c>
      <c r="U229" s="11">
        <v>5.8400000000000001E-2</v>
      </c>
      <c r="V229" s="11">
        <v>-1.4666999999999999</v>
      </c>
    </row>
    <row r="230" spans="1:22" ht="15.6" thickTop="1" thickBot="1" x14ac:dyDescent="0.35">
      <c r="A230" s="13">
        <v>8033300</v>
      </c>
      <c r="B230" s="6" t="s">
        <v>201</v>
      </c>
      <c r="C230" s="2" t="s">
        <v>283</v>
      </c>
      <c r="D230" s="23">
        <v>45757</v>
      </c>
      <c r="E230" s="32">
        <v>0.32291666666666669</v>
      </c>
      <c r="F230" s="11">
        <v>-0.1087</v>
      </c>
      <c r="G230" s="11">
        <v>-0.21579999999999999</v>
      </c>
      <c r="H230" s="11">
        <v>-0.15379999999999999</v>
      </c>
      <c r="I230" s="11">
        <v>0</v>
      </c>
      <c r="J230" s="11">
        <v>-4.48E-2</v>
      </c>
      <c r="K230" s="11">
        <v>-0.38300000000000001</v>
      </c>
      <c r="L230" s="11">
        <v>-0.188</v>
      </c>
      <c r="M230" s="11">
        <v>0</v>
      </c>
      <c r="N230" s="11">
        <v>1.619</v>
      </c>
      <c r="O230" s="11">
        <v>-0.8679</v>
      </c>
      <c r="P230" s="11">
        <v>-0.1176</v>
      </c>
      <c r="Q230" s="11">
        <v>0</v>
      </c>
      <c r="R230" s="11">
        <v>0</v>
      </c>
      <c r="S230" s="11">
        <v>0</v>
      </c>
      <c r="T230" s="11">
        <v>-0.28570000000000001</v>
      </c>
      <c r="U230" s="11">
        <v>-9.7000000000000003E-3</v>
      </c>
      <c r="V230" s="11">
        <v>-6.0600000000000001E-2</v>
      </c>
    </row>
    <row r="231" spans="1:22" ht="15.6" thickTop="1" thickBot="1" x14ac:dyDescent="0.35">
      <c r="A231" s="13">
        <v>8034000</v>
      </c>
      <c r="B231" s="6" t="s">
        <v>92</v>
      </c>
      <c r="C231" s="2" t="s">
        <v>422</v>
      </c>
      <c r="D231" s="23">
        <v>45112</v>
      </c>
      <c r="E231" s="25" t="s">
        <v>177</v>
      </c>
      <c r="F231" s="11">
        <v>-0.1529294935451837</v>
      </c>
      <c r="G231" s="11">
        <v>-0.32335329341317365</v>
      </c>
      <c r="H231" s="11">
        <v>-0.6064516129032258</v>
      </c>
      <c r="I231" s="11">
        <v>0</v>
      </c>
      <c r="J231" s="11">
        <v>-1.9801980198019802E-2</v>
      </c>
      <c r="K231" s="11">
        <v>-0.11764705882352941</v>
      </c>
      <c r="L231" s="11">
        <v>-2</v>
      </c>
      <c r="M231" s="11">
        <v>0.66666666666666663</v>
      </c>
      <c r="N231" s="11">
        <v>-0.66666666666666663</v>
      </c>
      <c r="O231" s="11">
        <v>-0.1951219512195122</v>
      </c>
      <c r="P231" s="11">
        <v>-1.6129032258064515</v>
      </c>
      <c r="Q231" s="11">
        <v>-8.3333333333333329E-2</v>
      </c>
      <c r="R231" s="11">
        <v>1.9417475728155338E-2</v>
      </c>
      <c r="S231" s="11">
        <v>-0.08</v>
      </c>
      <c r="T231" s="11">
        <v>0</v>
      </c>
      <c r="U231" s="11">
        <v>1.8867924528301886E-2</v>
      </c>
      <c r="V231" s="11">
        <v>-0.47619047619047616</v>
      </c>
    </row>
    <row r="232" spans="1:22" ht="15.6" thickTop="1" thickBot="1" x14ac:dyDescent="0.35">
      <c r="A232" s="13">
        <v>8012100</v>
      </c>
      <c r="B232" s="6" t="s">
        <v>44</v>
      </c>
      <c r="C232" s="2" t="s">
        <v>364</v>
      </c>
      <c r="D232" s="23">
        <v>45379</v>
      </c>
      <c r="E232" s="25" t="s">
        <v>176</v>
      </c>
      <c r="F232" s="11">
        <v>-8.2612872238232465E-2</v>
      </c>
      <c r="G232" s="11">
        <v>-0.15463917525773196</v>
      </c>
      <c r="H232" s="11">
        <v>-5.8883248730964469E-2</v>
      </c>
      <c r="I232" s="11">
        <v>2.4691358024691357E-2</v>
      </c>
      <c r="J232" s="11">
        <v>1.2578616352201259E-2</v>
      </c>
      <c r="K232" s="11">
        <v>-0.125</v>
      </c>
      <c r="L232" s="11">
        <v>-0.20029027576197386</v>
      </c>
      <c r="M232" s="11">
        <v>0.4</v>
      </c>
      <c r="N232" s="11">
        <v>1.1596638655462186</v>
      </c>
      <c r="O232" s="11">
        <v>-0.22167487684729065</v>
      </c>
      <c r="P232" s="11">
        <v>-0.29629629629629628</v>
      </c>
      <c r="Q232" s="11">
        <v>0.14285714285714285</v>
      </c>
      <c r="R232" s="11">
        <v>-8.3333333333333329E-2</v>
      </c>
      <c r="S232" s="11">
        <v>0</v>
      </c>
      <c r="T232" s="11">
        <v>0.20289855072463769</v>
      </c>
      <c r="U232" s="11">
        <v>-0.16666666666666666</v>
      </c>
      <c r="V232" s="11">
        <v>-9.5238095238095233E-2</v>
      </c>
    </row>
    <row r="233" spans="1:22" ht="15.6" thickTop="1" thickBot="1" x14ac:dyDescent="0.35">
      <c r="A233" s="13">
        <v>8055300</v>
      </c>
      <c r="B233" s="6" t="s">
        <v>133</v>
      </c>
      <c r="C233" s="2" t="s">
        <v>470</v>
      </c>
      <c r="D233" s="23">
        <v>45356</v>
      </c>
      <c r="E233" s="25" t="s">
        <v>177</v>
      </c>
      <c r="F233" s="11">
        <v>-0.24574669187145556</v>
      </c>
      <c r="G233" s="11">
        <v>-8.5106382978723406E-3</v>
      </c>
      <c r="H233" s="11">
        <v>-0.11042944785276074</v>
      </c>
      <c r="I233" s="11">
        <v>-0.59082568807339453</v>
      </c>
      <c r="J233" s="11">
        <v>-7.4534161490683232E-2</v>
      </c>
      <c r="K233" s="11">
        <v>-3.1746031746031744E-2</v>
      </c>
      <c r="L233" s="11">
        <v>-8.3333333333333329E-2</v>
      </c>
      <c r="M233" s="11">
        <v>3.2258064516129031E-2</v>
      </c>
      <c r="N233" s="11">
        <v>-0.14285714285714285</v>
      </c>
      <c r="O233" s="11">
        <v>0</v>
      </c>
      <c r="P233" s="11">
        <v>-0.4</v>
      </c>
      <c r="Q233" s="11">
        <v>-0.3619047619047619</v>
      </c>
      <c r="R233" s="11">
        <v>-0.67716535433070868</v>
      </c>
      <c r="S233" s="11">
        <v>-0.44067796610169491</v>
      </c>
      <c r="T233" s="11">
        <v>0</v>
      </c>
      <c r="U233" s="11">
        <v>-0.2890625</v>
      </c>
      <c r="V233" s="11">
        <v>0.83333333333333337</v>
      </c>
    </row>
    <row r="234" spans="1:22" ht="15.6" thickTop="1" thickBot="1" x14ac:dyDescent="0.35">
      <c r="A234" s="13">
        <v>8025200</v>
      </c>
      <c r="B234" s="6" t="s">
        <v>194</v>
      </c>
      <c r="C234" s="2" t="s">
        <v>276</v>
      </c>
      <c r="D234" s="23">
        <v>45383</v>
      </c>
      <c r="E234" s="24" t="s">
        <v>177</v>
      </c>
      <c r="F234" s="11">
        <v>-3.3197278911564626E-2</v>
      </c>
      <c r="G234" s="11">
        <v>-4.2632066728452274E-2</v>
      </c>
      <c r="H234" s="11">
        <v>5.5172413793103444E-3</v>
      </c>
      <c r="I234" s="11">
        <v>-4.5801526717557252E-2</v>
      </c>
      <c r="J234" s="11">
        <v>-8.1447963800904979E-2</v>
      </c>
      <c r="K234" s="11">
        <v>-0.21666666666666667</v>
      </c>
      <c r="L234" s="11">
        <v>7.8431372549019607E-3</v>
      </c>
      <c r="M234" s="11">
        <v>0</v>
      </c>
      <c r="N234" s="11">
        <v>2.3529411764705882E-2</v>
      </c>
      <c r="O234" s="11">
        <v>2.3591087811271297E-2</v>
      </c>
      <c r="P234" s="11">
        <v>-1.9933554817275746E-2</v>
      </c>
      <c r="Q234" s="11">
        <v>-3.3898305084745763E-2</v>
      </c>
      <c r="R234" s="11">
        <v>-0.125</v>
      </c>
      <c r="S234" s="11">
        <v>0.08</v>
      </c>
      <c r="T234" s="11">
        <v>-0.20175438596491227</v>
      </c>
      <c r="U234" s="11">
        <v>0.15602836879432624</v>
      </c>
      <c r="V234" s="11">
        <v>-6.9686411149825784E-3</v>
      </c>
    </row>
    <row r="235" spans="1:22" ht="15.6" thickTop="1" thickBot="1" x14ac:dyDescent="0.35">
      <c r="A235" s="13">
        <v>8024800</v>
      </c>
      <c r="B235" s="6" t="s">
        <v>67</v>
      </c>
      <c r="C235" s="2" t="s">
        <v>392</v>
      </c>
      <c r="D235" s="23">
        <v>45343</v>
      </c>
      <c r="E235" s="25" t="s">
        <v>177</v>
      </c>
      <c r="F235" s="11">
        <v>-0.37510656436487638</v>
      </c>
      <c r="G235" s="11">
        <v>-0.2071307300509338</v>
      </c>
      <c r="H235" s="11">
        <v>-0.56768558951965065</v>
      </c>
      <c r="I235" s="11">
        <v>-0.23008849557522124</v>
      </c>
      <c r="J235" s="11">
        <v>-0.64748201438848918</v>
      </c>
      <c r="K235" s="11">
        <v>-2.197802197802198E-2</v>
      </c>
      <c r="L235" s="11">
        <v>-0.14258188824662812</v>
      </c>
      <c r="M235" s="11">
        <v>-1.9183673469387754</v>
      </c>
      <c r="N235" s="11">
        <v>4.4444444444444446E-2</v>
      </c>
      <c r="O235" s="11">
        <v>-0.49382716049382713</v>
      </c>
      <c r="P235" s="11">
        <v>-2</v>
      </c>
      <c r="Q235" s="11">
        <v>6.741573033707865E-2</v>
      </c>
      <c r="R235" s="11">
        <v>0.66666666666666663</v>
      </c>
      <c r="S235" s="11">
        <v>-2</v>
      </c>
      <c r="T235" s="11">
        <v>-9.0909090909090912E-2</v>
      </c>
      <c r="U235" s="11">
        <v>0</v>
      </c>
      <c r="V235" s="11">
        <v>-2</v>
      </c>
    </row>
    <row r="236" spans="1:22" ht="15.6" thickTop="1" thickBot="1" x14ac:dyDescent="0.35">
      <c r="A236" s="13">
        <v>8055200</v>
      </c>
      <c r="B236" s="6" t="s">
        <v>132</v>
      </c>
      <c r="C236" s="2" t="s">
        <v>469</v>
      </c>
      <c r="D236" s="23">
        <v>45126</v>
      </c>
      <c r="E236" s="25" t="s">
        <v>176</v>
      </c>
      <c r="F236" s="11">
        <v>-0.20332717190388169</v>
      </c>
      <c r="G236" s="11">
        <v>8.5106382978723402E-2</v>
      </c>
      <c r="H236" s="11">
        <v>-0.375</v>
      </c>
      <c r="I236" s="11">
        <v>-1.6666666666666667</v>
      </c>
      <c r="J236" s="11">
        <v>-0.11764705882352941</v>
      </c>
      <c r="K236" s="11">
        <v>0</v>
      </c>
      <c r="L236" s="11">
        <v>7.8212290502793297E-2</v>
      </c>
      <c r="M236" s="11">
        <v>2</v>
      </c>
      <c r="N236" s="11">
        <v>1</v>
      </c>
      <c r="O236" s="11">
        <v>-0.18834080717488788</v>
      </c>
      <c r="P236" s="11">
        <v>-2</v>
      </c>
      <c r="Q236" s="11">
        <v>0</v>
      </c>
      <c r="R236" s="11">
        <v>0</v>
      </c>
      <c r="S236" s="11">
        <v>-1.6666666666666667</v>
      </c>
      <c r="T236" s="11">
        <v>-2.4691358024691357E-2</v>
      </c>
      <c r="U236" s="11">
        <v>0</v>
      </c>
      <c r="V236" s="11">
        <v>-2</v>
      </c>
    </row>
    <row r="237" spans="1:22" ht="15.6" thickTop="1" thickBot="1" x14ac:dyDescent="0.35">
      <c r="A237" s="13">
        <v>8051100</v>
      </c>
      <c r="B237" s="6" t="s">
        <v>25</v>
      </c>
      <c r="C237" s="2" t="s">
        <v>454</v>
      </c>
      <c r="D237" s="23">
        <v>45099</v>
      </c>
      <c r="E237" s="24" t="s">
        <v>174</v>
      </c>
      <c r="F237" s="12">
        <v>-1.9614361702127658E-2</v>
      </c>
      <c r="G237" s="12">
        <v>0</v>
      </c>
      <c r="H237" s="12">
        <v>-8.7936865839909811E-2</v>
      </c>
      <c r="I237" s="12" t="s">
        <v>13</v>
      </c>
      <c r="J237" s="12">
        <v>0</v>
      </c>
      <c r="K237" s="12">
        <v>0.16666666666666666</v>
      </c>
      <c r="L237" s="12">
        <v>-1.1363636363636364E-2</v>
      </c>
      <c r="M237" s="12" t="s">
        <v>13</v>
      </c>
      <c r="N237" s="12" t="s">
        <v>13</v>
      </c>
      <c r="O237" s="12">
        <v>-0.10012836970474968</v>
      </c>
      <c r="P237" s="12">
        <v>0</v>
      </c>
      <c r="Q237" s="12" t="s">
        <v>13</v>
      </c>
      <c r="R237" s="12" t="s">
        <v>13</v>
      </c>
      <c r="S237" s="12" t="s">
        <v>13</v>
      </c>
      <c r="T237" s="12">
        <v>-2.197802197802198E-2</v>
      </c>
      <c r="U237" s="12" t="s">
        <v>13</v>
      </c>
      <c r="V237" s="12">
        <v>2.4691358024691357E-2</v>
      </c>
    </row>
    <row r="238" spans="1:22" ht="15" thickTop="1" x14ac:dyDescent="0.3"/>
  </sheetData>
  <autoFilter ref="A1:V153" xr:uid="{0E81A1F6-9987-4B54-B46D-A85B1C4F1F87}">
    <sortState xmlns:xlrd2="http://schemas.microsoft.com/office/spreadsheetml/2017/richdata2" ref="A2:V237">
      <sortCondition ref="B2:B237"/>
    </sortState>
  </autoFilter>
  <conditionalFormatting sqref="F2:V7 F9:V500 W60 W112">
    <cfRule type="cellIs" priority="1" stopIfTrue="1" operator="equal">
      <formula>"NA"</formula>
    </cfRule>
    <cfRule type="containsBlanks" priority="2" stopIfTrue="1">
      <formula>LEN(TRIM(F2))=0</formula>
    </cfRule>
    <cfRule type="cellIs" dxfId="89" priority="3" operator="lessThan">
      <formula>-0.1</formula>
    </cfRule>
    <cfRule type="cellIs" dxfId="88" priority="4" operator="greaterThan">
      <formula>0.1</formula>
    </cfRule>
    <cfRule type="cellIs" dxfId="87" priority="5" operator="between">
      <formula>0.1</formula>
      <formula>0.05</formula>
    </cfRule>
    <cfRule type="cellIs" dxfId="86" priority="6" operator="between">
      <formula>-0.1</formula>
      <formula>-0.05</formula>
    </cfRule>
    <cfRule type="cellIs" dxfId="85" priority="7" operator="between">
      <formula>-0.05</formula>
      <formula>0.05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9B738-1EAD-4260-9DA7-6E9B669A033D}">
  <sheetPr codeName="Sheet5"/>
  <dimension ref="A1:V61"/>
  <sheetViews>
    <sheetView workbookViewId="0">
      <selection activeCell="H24" sqref="H24"/>
    </sheetView>
  </sheetViews>
  <sheetFormatPr defaultRowHeight="14.4" x14ac:dyDescent="0.3"/>
  <cols>
    <col min="1" max="1" width="10.5546875" customWidth="1"/>
    <col min="2" max="2" width="74.44140625" bestFit="1" customWidth="1"/>
    <col min="3" max="3" width="15.6640625" bestFit="1" customWidth="1"/>
    <col min="4" max="4" width="9.5546875" bestFit="1" customWidth="1"/>
    <col min="5" max="5" width="10.6640625" bestFit="1" customWidth="1"/>
    <col min="6" max="6" width="7.5546875" style="12" bestFit="1" customWidth="1"/>
    <col min="7" max="22" width="8.6640625" style="12"/>
  </cols>
  <sheetData>
    <row r="1" spans="1:22" s="1" customFormat="1" ht="16.2" thickBot="1" x14ac:dyDescent="0.35">
      <c r="A1" s="7" t="s">
        <v>27</v>
      </c>
      <c r="B1" s="8" t="s">
        <v>26</v>
      </c>
      <c r="C1" s="3" t="s">
        <v>516</v>
      </c>
      <c r="D1" s="3" t="s">
        <v>175</v>
      </c>
      <c r="E1" s="4" t="s">
        <v>173</v>
      </c>
      <c r="F1" s="10" t="s">
        <v>172</v>
      </c>
      <c r="G1" s="10" t="s">
        <v>159</v>
      </c>
      <c r="H1" s="10" t="s">
        <v>163</v>
      </c>
      <c r="I1" s="10" t="s">
        <v>167</v>
      </c>
      <c r="J1" s="10" t="s">
        <v>171</v>
      </c>
      <c r="K1" s="10" t="s">
        <v>156</v>
      </c>
      <c r="L1" s="10" t="s">
        <v>157</v>
      </c>
      <c r="M1" s="10" t="s">
        <v>158</v>
      </c>
      <c r="N1" s="10" t="s">
        <v>160</v>
      </c>
      <c r="O1" s="10" t="s">
        <v>161</v>
      </c>
      <c r="P1" s="10" t="s">
        <v>162</v>
      </c>
      <c r="Q1" s="10" t="s">
        <v>164</v>
      </c>
      <c r="R1" s="10" t="s">
        <v>165</v>
      </c>
      <c r="S1" s="10" t="s">
        <v>166</v>
      </c>
      <c r="T1" s="10" t="s">
        <v>168</v>
      </c>
      <c r="U1" s="10" t="s">
        <v>169</v>
      </c>
      <c r="V1" s="10" t="s">
        <v>170</v>
      </c>
    </row>
    <row r="2" spans="1:22" ht="15" thickTop="1" x14ac:dyDescent="0.3">
      <c r="A2">
        <v>8001000</v>
      </c>
      <c r="B2" t="s">
        <v>22</v>
      </c>
      <c r="C2" s="2" t="s">
        <v>497</v>
      </c>
      <c r="D2" s="2">
        <v>45329</v>
      </c>
      <c r="E2" s="2" t="s">
        <v>174</v>
      </c>
      <c r="F2" s="11">
        <v>-4.23529411764706E-2</v>
      </c>
      <c r="G2" s="11">
        <v>-5.0847457627118647E-2</v>
      </c>
      <c r="H2" s="11">
        <v>-3.8834951456310676E-2</v>
      </c>
      <c r="I2" s="11">
        <v>-4.4692737430167599E-2</v>
      </c>
      <c r="J2" s="11">
        <v>-2.553191489361702E-2</v>
      </c>
      <c r="K2" s="11">
        <v>2.197802197802198E-2</v>
      </c>
      <c r="L2" s="11">
        <v>3.4013605442176874E-2</v>
      </c>
      <c r="M2" s="11">
        <v>-2</v>
      </c>
      <c r="N2" s="11">
        <v>-2.6315789473684209E-2</v>
      </c>
      <c r="O2" s="11">
        <v>8.8888888888888892E-2</v>
      </c>
      <c r="P2" s="11">
        <v>-2</v>
      </c>
      <c r="Q2" s="11">
        <v>-5.7142857142857141E-2</v>
      </c>
      <c r="R2" s="11">
        <v>-0.14173228346456693</v>
      </c>
      <c r="S2" s="11">
        <v>2.0408163265306121E-2</v>
      </c>
      <c r="T2" s="11">
        <v>0.1276595744680851</v>
      </c>
      <c r="U2" s="11">
        <v>7.407407407407407E-2</v>
      </c>
      <c r="V2" s="11">
        <v>-0.41509433962264153</v>
      </c>
    </row>
    <row r="3" spans="1:22" x14ac:dyDescent="0.3">
      <c r="A3">
        <v>8001100</v>
      </c>
      <c r="B3" t="s">
        <v>21</v>
      </c>
      <c r="C3" t="s">
        <v>497</v>
      </c>
      <c r="D3" s="2">
        <v>45329</v>
      </c>
      <c r="E3" t="s">
        <v>174</v>
      </c>
      <c r="F3" s="11">
        <v>-6.8170426065162909E-2</v>
      </c>
      <c r="G3" s="11">
        <v>-5.6338028169014088E-3</v>
      </c>
      <c r="H3" s="11">
        <v>-5.4968287526427059E-2</v>
      </c>
      <c r="I3" s="11">
        <v>-6.8796068796068796E-2</v>
      </c>
      <c r="J3" s="11">
        <v>-0.13562231759656651</v>
      </c>
      <c r="K3" s="11">
        <v>-0.26737967914438504</v>
      </c>
      <c r="L3" s="11">
        <v>5.0251256281407038E-2</v>
      </c>
      <c r="M3" s="11">
        <v>4.878048780487805E-2</v>
      </c>
      <c r="N3" s="11">
        <v>-0.23076923076923078</v>
      </c>
      <c r="O3" s="11">
        <v>2.0618556701030927E-2</v>
      </c>
      <c r="P3" s="11">
        <v>-0.16666666666666666</v>
      </c>
      <c r="Q3" s="11">
        <v>-0.21468926553672316</v>
      </c>
      <c r="R3" s="11">
        <v>-1.0968921389396709E-2</v>
      </c>
      <c r="S3" s="11">
        <v>-0.13333333333333333</v>
      </c>
      <c r="T3" s="11">
        <v>-0.30598669623059865</v>
      </c>
      <c r="U3" s="11">
        <v>-1.2958963282937365E-2</v>
      </c>
      <c r="V3" s="11">
        <v>-5.5776892430278883E-2</v>
      </c>
    </row>
    <row r="4" spans="1:22" x14ac:dyDescent="0.3">
      <c r="A4">
        <v>8001200</v>
      </c>
      <c r="B4" t="s">
        <v>3</v>
      </c>
      <c r="C4" s="2" t="s">
        <v>497</v>
      </c>
      <c r="D4" s="2">
        <v>45299</v>
      </c>
      <c r="E4" s="2" t="s">
        <v>176</v>
      </c>
      <c r="F4" s="11">
        <v>1.3225569434239529E-2</v>
      </c>
      <c r="G4" s="11">
        <v>2.0477815699658702E-2</v>
      </c>
      <c r="H4" s="11">
        <v>-2.0876826722338204E-2</v>
      </c>
      <c r="I4" s="11">
        <v>8.6021505376344093E-2</v>
      </c>
      <c r="J4" s="11">
        <v>0</v>
      </c>
      <c r="K4" s="11">
        <v>-9.5238095238095233E-2</v>
      </c>
      <c r="L4" s="11">
        <v>2.5862068965517241E-2</v>
      </c>
      <c r="M4" s="11">
        <v>1.9801980198019802E-2</v>
      </c>
      <c r="N4" s="11">
        <v>0.1</v>
      </c>
      <c r="O4" s="11">
        <v>-2.4691358024691357E-2</v>
      </c>
      <c r="P4" s="11">
        <v>-0.11764705882352941</v>
      </c>
      <c r="Q4" s="11">
        <v>9.7560975609756101E-2</v>
      </c>
      <c r="R4" s="11">
        <v>0.125</v>
      </c>
      <c r="S4" s="11">
        <v>5.5555555555555552E-2</v>
      </c>
      <c r="T4" s="11">
        <v>-8.3333333333333329E-2</v>
      </c>
      <c r="U4" s="11">
        <v>4.6511627906976744E-2</v>
      </c>
      <c r="V4" s="11">
        <v>0.10526315789473684</v>
      </c>
    </row>
    <row r="5" spans="1:22" x14ac:dyDescent="0.3">
      <c r="A5">
        <v>8005200</v>
      </c>
      <c r="B5" t="s">
        <v>34</v>
      </c>
      <c r="C5" t="s">
        <v>497</v>
      </c>
      <c r="D5" s="2">
        <v>45322</v>
      </c>
      <c r="E5" t="s">
        <v>177</v>
      </c>
      <c r="F5" s="11">
        <v>-3.2454361054766734E-2</v>
      </c>
      <c r="G5" s="11">
        <v>-1.5174506828528073E-2</v>
      </c>
      <c r="H5" s="11">
        <v>-5.9405940594059403E-2</v>
      </c>
      <c r="I5" s="11">
        <v>-2.4242424242424242E-2</v>
      </c>
      <c r="J5" s="11">
        <v>-1.4492753623188406E-2</v>
      </c>
      <c r="K5" s="11">
        <v>1.3009708737864079</v>
      </c>
      <c r="L5" s="11">
        <v>-1.4551971326164874</v>
      </c>
      <c r="M5" s="11">
        <v>-8.4507042253521125E-2</v>
      </c>
      <c r="N5" s="11">
        <v>-2.8169014084507043E-2</v>
      </c>
      <c r="O5" s="11">
        <v>-0.15172413793103448</v>
      </c>
      <c r="P5" s="11">
        <v>0.50847457627118642</v>
      </c>
      <c r="Q5" s="11">
        <v>-0.625</v>
      </c>
      <c r="R5" s="11">
        <v>7.792207792207792E-2</v>
      </c>
      <c r="S5" s="11">
        <v>0</v>
      </c>
      <c r="T5" s="11">
        <v>-0.66666666666666663</v>
      </c>
      <c r="U5" s="11">
        <v>9.7560975609756097E-3</v>
      </c>
      <c r="V5" s="11">
        <v>-3.0769230769230771E-2</v>
      </c>
    </row>
    <row r="6" spans="1:22" x14ac:dyDescent="0.3">
      <c r="A6">
        <v>8005400</v>
      </c>
      <c r="B6" t="s">
        <v>20</v>
      </c>
      <c r="C6" s="2" t="s">
        <v>497</v>
      </c>
      <c r="D6" s="2">
        <v>45321</v>
      </c>
      <c r="E6" s="2" t="s">
        <v>177</v>
      </c>
      <c r="F6" s="11">
        <v>-0.27252252252252251</v>
      </c>
      <c r="G6" s="11">
        <v>-0.20767494356659141</v>
      </c>
      <c r="H6" s="11">
        <v>-0.3884514435695538</v>
      </c>
      <c r="I6" s="11">
        <v>-3.9215686274509803E-2</v>
      </c>
      <c r="J6" s="11">
        <v>0</v>
      </c>
      <c r="K6" s="11">
        <v>-0.90909090909090906</v>
      </c>
      <c r="L6" s="11">
        <v>-0.20070838252656434</v>
      </c>
      <c r="M6" s="11">
        <v>-0.14285714285714285</v>
      </c>
      <c r="N6" s="11">
        <v>-0.4</v>
      </c>
      <c r="O6" s="11">
        <v>-0.39673913043478259</v>
      </c>
      <c r="P6" s="11">
        <v>0</v>
      </c>
      <c r="Q6" s="11">
        <v>-8.3333333333333329E-2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</row>
    <row r="7" spans="1:22" x14ac:dyDescent="0.3">
      <c r="A7">
        <v>8013100</v>
      </c>
      <c r="B7" t="s">
        <v>14</v>
      </c>
      <c r="C7" t="s">
        <v>497</v>
      </c>
      <c r="D7" s="2">
        <v>45357</v>
      </c>
      <c r="E7" t="s">
        <v>176</v>
      </c>
      <c r="F7" s="11">
        <v>-0.15669099756690996</v>
      </c>
      <c r="G7" s="11">
        <v>-7.1047957371225573E-2</v>
      </c>
      <c r="H7" s="11">
        <v>-0.30747531734837802</v>
      </c>
      <c r="I7" s="11">
        <v>-0.19444444444444445</v>
      </c>
      <c r="J7" s="11">
        <v>5.2631578947368418E-2</v>
      </c>
      <c r="K7" s="11">
        <v>0.12903225806451613</v>
      </c>
      <c r="L7" s="11">
        <v>-9.419496166484119E-2</v>
      </c>
      <c r="M7" s="11">
        <v>-1.3245033112582781E-2</v>
      </c>
      <c r="N7" s="11">
        <v>-9.9290780141843976E-2</v>
      </c>
      <c r="O7" s="11">
        <v>-0.34704830053667263</v>
      </c>
      <c r="P7" s="11">
        <v>-1.1111111111111112</v>
      </c>
      <c r="Q7" s="11">
        <v>8.5106382978723402E-2</v>
      </c>
      <c r="R7" s="11">
        <v>-1</v>
      </c>
      <c r="S7" s="11">
        <v>-0.66666666666666663</v>
      </c>
      <c r="T7" s="11">
        <v>0</v>
      </c>
      <c r="U7" s="11">
        <v>8.6956521739130432E-2</v>
      </c>
      <c r="V7" s="11">
        <v>4.4444444444444446E-2</v>
      </c>
    </row>
    <row r="8" spans="1:22" x14ac:dyDescent="0.3">
      <c r="A8">
        <v>8013500</v>
      </c>
      <c r="B8" t="s">
        <v>15</v>
      </c>
      <c r="C8" s="2" t="s">
        <v>497</v>
      </c>
      <c r="D8" s="2">
        <v>45320</v>
      </c>
      <c r="E8" t="s">
        <v>177</v>
      </c>
      <c r="F8" s="11">
        <v>8.8345225959904853E-3</v>
      </c>
      <c r="G8" s="11">
        <v>4.7407407407407405E-2</v>
      </c>
      <c r="H8" s="11">
        <v>-4.4806517311608958E-2</v>
      </c>
      <c r="I8" s="11">
        <v>6.4516129032258063E-2</v>
      </c>
      <c r="J8" s="11">
        <v>3.6429872495446266E-3</v>
      </c>
      <c r="K8" s="11">
        <v>0.19704433497536947</v>
      </c>
      <c r="L8" s="11">
        <v>-1.9889502762430938E-2</v>
      </c>
      <c r="M8" s="11">
        <v>5.128205128205128E-2</v>
      </c>
      <c r="N8" s="11">
        <v>-1.6260162601626018E-2</v>
      </c>
      <c r="O8" s="11">
        <v>-3.911342894393742E-2</v>
      </c>
      <c r="P8" s="11">
        <v>-0.13043478260869565</v>
      </c>
      <c r="Q8" s="11">
        <v>-1.4285714285714286</v>
      </c>
      <c r="R8" s="11">
        <v>0.75</v>
      </c>
      <c r="S8" s="11">
        <v>5.128205128205128E-2</v>
      </c>
      <c r="T8" s="11">
        <v>-0.88607594936708856</v>
      </c>
      <c r="U8" s="11">
        <v>0.72340425531914898</v>
      </c>
      <c r="V8" s="11">
        <v>1.0638297872340425E-2</v>
      </c>
    </row>
    <row r="9" spans="1:22" x14ac:dyDescent="0.3">
      <c r="A9">
        <v>8015400</v>
      </c>
      <c r="B9" s="5" t="s">
        <v>47</v>
      </c>
      <c r="C9" s="2" t="s">
        <v>497</v>
      </c>
      <c r="D9" s="2">
        <v>45322</v>
      </c>
      <c r="E9" s="5" t="s">
        <v>176</v>
      </c>
      <c r="F9" s="11">
        <v>-6.3775510204081634E-2</v>
      </c>
      <c r="G9" s="11">
        <v>4.0404040404040407E-2</v>
      </c>
      <c r="H9" s="11">
        <v>-0.32227488151658767</v>
      </c>
      <c r="I9" s="11">
        <v>8.4507042253521125E-2</v>
      </c>
      <c r="J9" s="11">
        <v>-4.4776119402985072E-2</v>
      </c>
      <c r="K9" s="11">
        <v>0.42857142857142855</v>
      </c>
      <c r="L9" s="11">
        <v>2.2222222222222223E-2</v>
      </c>
      <c r="M9" s="11">
        <v>0</v>
      </c>
      <c r="N9" s="11">
        <v>2.197802197802198E-2</v>
      </c>
      <c r="O9" s="11">
        <v>-0.25605536332179929</v>
      </c>
      <c r="P9" s="11">
        <v>-1.5238095238095237</v>
      </c>
      <c r="Q9" s="11">
        <v>0.14285714285714285</v>
      </c>
      <c r="R9" s="11">
        <v>0.08</v>
      </c>
      <c r="S9" s="11">
        <v>7.5471698113207544E-2</v>
      </c>
      <c r="T9" s="11">
        <v>3.3333333333333333E-2</v>
      </c>
      <c r="U9" s="11">
        <v>-0.13333333333333333</v>
      </c>
      <c r="V9" s="11">
        <v>0.15384615384615385</v>
      </c>
    </row>
    <row r="10" spans="1:22" x14ac:dyDescent="0.3">
      <c r="A10">
        <v>8015500</v>
      </c>
      <c r="B10" s="5" t="s">
        <v>4</v>
      </c>
      <c r="C10" s="2" t="s">
        <v>497</v>
      </c>
      <c r="D10" s="2">
        <v>45295</v>
      </c>
      <c r="E10" s="5" t="s">
        <v>177</v>
      </c>
      <c r="F10" s="11">
        <v>-2.8809704321455649E-2</v>
      </c>
      <c r="G10" s="11">
        <v>-3.9138943248532287E-3</v>
      </c>
      <c r="H10" s="11">
        <v>-2.0066889632107024E-2</v>
      </c>
      <c r="I10" s="11">
        <v>-0.12903225806451613</v>
      </c>
      <c r="J10" s="11">
        <v>-1.7291066282420751E-2</v>
      </c>
      <c r="K10" s="11">
        <v>-2.8169014084507043E-2</v>
      </c>
      <c r="L10" s="11">
        <v>1.5544041450777202E-2</v>
      </c>
      <c r="M10" s="11">
        <v>-7.8212290502793297E-2</v>
      </c>
      <c r="N10" s="11">
        <v>-2.4691358024691357E-2</v>
      </c>
      <c r="O10" s="11">
        <v>-2.6200873362445413E-2</v>
      </c>
      <c r="P10" s="11">
        <v>1.5503875968992248E-2</v>
      </c>
      <c r="Q10" s="11">
        <v>-0.4</v>
      </c>
      <c r="R10" s="11">
        <v>-0.70085470085470081</v>
      </c>
      <c r="S10" s="11">
        <v>0.45</v>
      </c>
      <c r="T10" s="11">
        <v>-6.8965517241379309E-2</v>
      </c>
      <c r="U10" s="11">
        <v>0</v>
      </c>
      <c r="V10" s="11">
        <v>0</v>
      </c>
    </row>
    <row r="11" spans="1:22" x14ac:dyDescent="0.3">
      <c r="A11">
        <v>8015700</v>
      </c>
      <c r="B11" s="5" t="s">
        <v>48</v>
      </c>
      <c r="C11" s="2" t="s">
        <v>497</v>
      </c>
      <c r="D11" s="2">
        <v>45322</v>
      </c>
      <c r="E11" s="5" t="s">
        <v>177</v>
      </c>
      <c r="F11" s="11">
        <v>-0.1364190012180268</v>
      </c>
      <c r="G11" s="11">
        <v>-0.11435832274459974</v>
      </c>
      <c r="H11" s="11">
        <v>-0.18901098901098901</v>
      </c>
      <c r="I11" s="11">
        <v>-0.19834710743801653</v>
      </c>
      <c r="J11" s="11">
        <v>0</v>
      </c>
      <c r="K11" s="11">
        <v>-0.34343434343434343</v>
      </c>
      <c r="L11" s="11">
        <v>-0.12037037037037036</v>
      </c>
      <c r="M11" s="11">
        <v>-1.5625E-2</v>
      </c>
      <c r="N11" s="11">
        <v>-0.4</v>
      </c>
      <c r="O11" s="11">
        <v>-0.18779342723004694</v>
      </c>
      <c r="P11" s="11">
        <v>0.22222222222222221</v>
      </c>
      <c r="Q11" s="11">
        <v>-0.24299065420560748</v>
      </c>
      <c r="R11" s="11">
        <v>0.18181818181818182</v>
      </c>
      <c r="S11" s="11">
        <v>0.11764705882352941</v>
      </c>
      <c r="T11" s="11">
        <v>0</v>
      </c>
      <c r="U11" s="11">
        <v>0</v>
      </c>
      <c r="V11" s="11">
        <v>0</v>
      </c>
    </row>
    <row r="12" spans="1:22" x14ac:dyDescent="0.3">
      <c r="A12">
        <v>8016800</v>
      </c>
      <c r="B12" s="5" t="s">
        <v>49</v>
      </c>
      <c r="C12" s="2" t="s">
        <v>497</v>
      </c>
      <c r="D12" s="2">
        <v>45336</v>
      </c>
      <c r="E12" s="5" t="s">
        <v>177</v>
      </c>
      <c r="F12" s="11">
        <v>-8.9015924867292776E-2</v>
      </c>
      <c r="G12" s="11">
        <v>-4.4393853158793399E-2</v>
      </c>
      <c r="H12" s="11">
        <v>1.1409942950285249E-2</v>
      </c>
      <c r="I12" s="11">
        <v>-0.11227402473834443</v>
      </c>
      <c r="J12" s="11">
        <v>-0.29432213209733488</v>
      </c>
      <c r="K12" s="11">
        <v>-0.12429378531073447</v>
      </c>
      <c r="L12" s="11">
        <v>0</v>
      </c>
      <c r="M12" s="11">
        <v>-0.14225941422594143</v>
      </c>
      <c r="N12" s="11">
        <v>-1.7094017094017096E-2</v>
      </c>
      <c r="O12" s="11">
        <v>0.2608695652173913</v>
      </c>
      <c r="P12" s="11">
        <v>-2</v>
      </c>
      <c r="Q12" s="11">
        <v>-2.2988505747126436E-2</v>
      </c>
      <c r="R12" s="11">
        <v>3.3240997229916899E-2</v>
      </c>
      <c r="S12" s="11">
        <v>-2</v>
      </c>
      <c r="T12" s="11">
        <v>3.8834951456310676E-2</v>
      </c>
      <c r="U12" s="11">
        <v>7.6628352490421452E-3</v>
      </c>
      <c r="V12" s="11">
        <v>-1.9703703703703703</v>
      </c>
    </row>
    <row r="13" spans="1:22" x14ac:dyDescent="0.3">
      <c r="A13">
        <v>8017000</v>
      </c>
      <c r="B13" t="s">
        <v>50</v>
      </c>
      <c r="C13" t="s">
        <v>497</v>
      </c>
      <c r="D13" s="2">
        <v>45322</v>
      </c>
      <c r="E13" t="s">
        <v>177</v>
      </c>
      <c r="F13" s="11">
        <v>-9.8225340486999588E-2</v>
      </c>
      <c r="G13" s="11">
        <v>0</v>
      </c>
      <c r="H13" s="11">
        <v>0</v>
      </c>
      <c r="I13" s="11">
        <v>-0.13682092555331993</v>
      </c>
      <c r="J13" s="11">
        <v>-9.7794822627037398E-2</v>
      </c>
      <c r="K13" s="11">
        <v>-9.5238095238095233E-2</v>
      </c>
      <c r="L13" s="11">
        <v>7.6923076923076927E-2</v>
      </c>
      <c r="M13" s="11">
        <v>0.15384615384615385</v>
      </c>
      <c r="N13" s="11">
        <v>-0.10256410256410256</v>
      </c>
      <c r="O13" s="11">
        <v>0.14285714285714285</v>
      </c>
      <c r="P13" s="11">
        <v>0</v>
      </c>
      <c r="Q13" s="11">
        <v>-0.18181818181818182</v>
      </c>
      <c r="R13" s="11">
        <v>-0.12446351931330472</v>
      </c>
      <c r="S13" s="11">
        <v>-0.35294117647058826</v>
      </c>
      <c r="T13" s="11">
        <v>-3.5087719298245612E-2</v>
      </c>
      <c r="U13" s="11">
        <v>-0.11510791366906475</v>
      </c>
      <c r="V13" s="11">
        <v>-2.1052631578947368E-2</v>
      </c>
    </row>
    <row r="14" spans="1:22" ht="13.95" customHeight="1" x14ac:dyDescent="0.3">
      <c r="A14">
        <v>8023900</v>
      </c>
      <c r="B14" t="s">
        <v>19</v>
      </c>
      <c r="C14" s="2" t="s">
        <v>497</v>
      </c>
      <c r="D14" s="2">
        <v>45321</v>
      </c>
      <c r="E14" s="2" t="s">
        <v>177</v>
      </c>
      <c r="F14" s="11">
        <v>-4.3070127001656543E-2</v>
      </c>
      <c r="G14" s="11">
        <v>0</v>
      </c>
      <c r="H14" s="11">
        <v>-8.7936865839909811E-2</v>
      </c>
      <c r="I14" s="11" t="s">
        <v>13</v>
      </c>
      <c r="J14" s="11">
        <v>0</v>
      </c>
      <c r="K14" s="11">
        <v>0.16666666666666666</v>
      </c>
      <c r="L14" s="11">
        <v>-1.1363636363636364E-2</v>
      </c>
      <c r="M14" s="11" t="s">
        <v>13</v>
      </c>
      <c r="N14" s="11" t="s">
        <v>13</v>
      </c>
      <c r="O14" s="11">
        <v>-0.10012836970474968</v>
      </c>
      <c r="P14" s="11">
        <v>0</v>
      </c>
      <c r="Q14" s="11" t="s">
        <v>13</v>
      </c>
      <c r="R14" s="11" t="s">
        <v>13</v>
      </c>
      <c r="S14" s="11" t="s">
        <v>13</v>
      </c>
      <c r="T14" s="11">
        <v>-2.197802197802198E-2</v>
      </c>
      <c r="U14" s="11" t="s">
        <v>13</v>
      </c>
      <c r="V14" s="11">
        <v>2.4691358024691357E-2</v>
      </c>
    </row>
    <row r="15" spans="1:22" x14ac:dyDescent="0.3">
      <c r="A15">
        <v>8024500</v>
      </c>
      <c r="B15" t="s">
        <v>16</v>
      </c>
      <c r="C15" t="s">
        <v>497</v>
      </c>
      <c r="D15" s="2">
        <v>45321</v>
      </c>
      <c r="E15" t="s">
        <v>176</v>
      </c>
      <c r="F15" s="11">
        <v>1.3531799729364006E-2</v>
      </c>
      <c r="G15" s="11">
        <v>9.9009900990099011E-3</v>
      </c>
      <c r="H15" s="11">
        <v>2.6557711950970377E-2</v>
      </c>
      <c r="I15" s="11">
        <v>-1.4925373134328358E-2</v>
      </c>
      <c r="J15" s="11">
        <v>2.2116903633491312E-2</v>
      </c>
      <c r="K15" s="11">
        <v>-6.7114093959731544E-2</v>
      </c>
      <c r="L15" s="11">
        <v>2.936378466557912E-2</v>
      </c>
      <c r="M15" s="11">
        <v>0</v>
      </c>
      <c r="N15" s="11">
        <v>-1.4184397163120567E-2</v>
      </c>
      <c r="O15" s="11">
        <v>0.27200000000000002</v>
      </c>
      <c r="P15" s="11">
        <v>-2</v>
      </c>
      <c r="Q15" s="11">
        <v>0</v>
      </c>
      <c r="R15" s="11">
        <v>0.23280423280423279</v>
      </c>
      <c r="S15" s="11">
        <v>-0.97959183673469385</v>
      </c>
      <c r="T15" s="11">
        <v>0</v>
      </c>
      <c r="U15" s="11">
        <v>0.53023255813953485</v>
      </c>
      <c r="V15" s="11">
        <v>-2</v>
      </c>
    </row>
    <row r="16" spans="1:22" x14ac:dyDescent="0.3">
      <c r="A16">
        <v>8024600</v>
      </c>
      <c r="B16" t="s">
        <v>2</v>
      </c>
      <c r="C16" s="2" t="s">
        <v>497</v>
      </c>
      <c r="D16" s="2">
        <v>45295</v>
      </c>
      <c r="E16" s="2" t="s">
        <v>176</v>
      </c>
      <c r="F16" s="11">
        <v>-5.7950530035335686E-2</v>
      </c>
      <c r="G16" s="11">
        <v>-0.24113475177304963</v>
      </c>
      <c r="H16" s="11">
        <v>-0.13043478260869565</v>
      </c>
      <c r="I16" s="11">
        <v>-3.8461538461538464E-2</v>
      </c>
      <c r="J16" s="11">
        <v>-2.1505376344086023E-2</v>
      </c>
      <c r="K16" s="11">
        <v>3.6363636363636362E-2</v>
      </c>
      <c r="L16" s="11">
        <v>0.18181818181818182</v>
      </c>
      <c r="M16" s="11">
        <v>-0.50666666666666671</v>
      </c>
      <c r="N16" s="11">
        <v>0</v>
      </c>
      <c r="O16" s="11">
        <v>-0.66666666666666663</v>
      </c>
      <c r="P16" s="11">
        <v>-0.43478260869565216</v>
      </c>
      <c r="Q16" s="11">
        <v>0</v>
      </c>
      <c r="R16" s="11">
        <v>3.5087719298245612E-2</v>
      </c>
      <c r="S16" s="11">
        <v>-0.45454545454545453</v>
      </c>
      <c r="T16" s="11">
        <v>0</v>
      </c>
      <c r="U16" s="11">
        <v>2.0120724346076459E-2</v>
      </c>
      <c r="V16" s="11">
        <v>-0.88</v>
      </c>
    </row>
    <row r="17" spans="1:22" x14ac:dyDescent="0.3">
      <c r="A17">
        <v>8026500</v>
      </c>
      <c r="B17" t="s">
        <v>18</v>
      </c>
      <c r="C17" s="2" t="s">
        <v>497</v>
      </c>
      <c r="D17" s="2">
        <v>45321</v>
      </c>
      <c r="E17" s="2" t="s">
        <v>177</v>
      </c>
      <c r="F17" s="11">
        <v>-6.9557750107342206E-2</v>
      </c>
      <c r="G17" s="11">
        <v>4.2105263157894736E-2</v>
      </c>
      <c r="H17" s="11">
        <v>-0.45161290322580644</v>
      </c>
      <c r="I17" s="11">
        <v>-0.13160333642261354</v>
      </c>
      <c r="J17" s="11">
        <v>-1.3605442176870748E-2</v>
      </c>
      <c r="K17" s="11">
        <v>-5.7142857142857141E-2</v>
      </c>
      <c r="L17" s="11">
        <v>0.10526315789473684</v>
      </c>
      <c r="M17" s="11">
        <v>0.18181818181818182</v>
      </c>
      <c r="N17" s="11">
        <v>0</v>
      </c>
      <c r="O17" s="11">
        <v>0</v>
      </c>
      <c r="P17" s="11">
        <v>-0.73684210526315785</v>
      </c>
      <c r="Q17" s="11">
        <v>0</v>
      </c>
      <c r="R17" s="11">
        <v>-4.5174537987679675E-2</v>
      </c>
      <c r="S17" s="11">
        <v>-1.6065573770491803</v>
      </c>
      <c r="T17" s="11">
        <v>7.1428571428571425E-2</v>
      </c>
      <c r="U17" s="11">
        <v>-1.8848167539267015E-2</v>
      </c>
      <c r="V17" s="11">
        <v>0</v>
      </c>
    </row>
    <row r="18" spans="1:22" x14ac:dyDescent="0.3">
      <c r="A18">
        <v>8027200</v>
      </c>
      <c r="B18" t="s">
        <v>518</v>
      </c>
      <c r="C18" s="2" t="s">
        <v>497</v>
      </c>
      <c r="D18" s="2">
        <v>45294</v>
      </c>
      <c r="E18" s="2" t="s">
        <v>176</v>
      </c>
      <c r="F18" s="11">
        <v>-0.30508474576271188</v>
      </c>
      <c r="G18" s="11">
        <v>-0.19332161687170474</v>
      </c>
      <c r="H18" s="11">
        <v>0.11320754716981132</v>
      </c>
      <c r="I18" s="11">
        <v>-3.9097744360902256E-2</v>
      </c>
      <c r="J18" s="11">
        <v>-0.71339173967459324</v>
      </c>
      <c r="K18" s="11">
        <v>-0.30335570469798656</v>
      </c>
      <c r="L18" s="11">
        <v>0.12903225806451613</v>
      </c>
      <c r="M18" s="11">
        <v>-6.0422960725075529E-3</v>
      </c>
      <c r="N18" s="11">
        <v>0.4</v>
      </c>
      <c r="O18" s="11">
        <v>0.125</v>
      </c>
      <c r="P18" s="11">
        <v>0</v>
      </c>
      <c r="Q18" s="11">
        <v>9.2485549132947972E-2</v>
      </c>
      <c r="R18" s="11">
        <v>-0.18892508143322476</v>
      </c>
      <c r="S18" s="11">
        <v>0</v>
      </c>
      <c r="T18" s="11">
        <v>-0.8</v>
      </c>
      <c r="U18" s="11">
        <v>0.23923444976076555</v>
      </c>
      <c r="V18" s="11">
        <v>-1.784366576819407</v>
      </c>
    </row>
    <row r="19" spans="1:22" ht="13.95" customHeight="1" x14ac:dyDescent="0.3">
      <c r="A19">
        <v>8027900</v>
      </c>
      <c r="B19" t="s">
        <v>0</v>
      </c>
      <c r="C19" t="s">
        <v>497</v>
      </c>
      <c r="D19" s="2">
        <v>45294</v>
      </c>
      <c r="E19" t="s">
        <v>174</v>
      </c>
      <c r="F19" s="11">
        <v>9.512485136741973E-3</v>
      </c>
      <c r="G19" s="11">
        <v>-5.7142857142857141E-2</v>
      </c>
      <c r="H19" s="11">
        <v>-3.007518796992481E-2</v>
      </c>
      <c r="I19" s="11">
        <v>-5.7971014492753624E-3</v>
      </c>
      <c r="J19" s="11">
        <v>4.3415340086830678E-2</v>
      </c>
      <c r="K19" s="11">
        <v>0</v>
      </c>
      <c r="L19" s="11">
        <v>0</v>
      </c>
      <c r="M19" s="11">
        <v>-8.6956521739130432E-2</v>
      </c>
      <c r="N19" s="11">
        <v>-4.4444444444444446E-2</v>
      </c>
      <c r="O19" s="11">
        <v>0.4</v>
      </c>
      <c r="P19" s="11">
        <v>-3.1746031746031744E-2</v>
      </c>
      <c r="Q19" s="11">
        <v>-0.08</v>
      </c>
      <c r="R19" s="11">
        <v>-3.838771593090211E-3</v>
      </c>
      <c r="S19" s="11">
        <v>0</v>
      </c>
      <c r="T19" s="11">
        <v>1.2422360248447204E-2</v>
      </c>
      <c r="U19" s="11">
        <v>5.7613168724279837E-2</v>
      </c>
      <c r="V19" s="11">
        <v>0</v>
      </c>
    </row>
    <row r="20" spans="1:22" x14ac:dyDescent="0.3">
      <c r="A20">
        <v>8034400</v>
      </c>
      <c r="B20" t="s">
        <v>6</v>
      </c>
      <c r="C20" s="2" t="s">
        <v>497</v>
      </c>
      <c r="D20" s="2">
        <v>45301</v>
      </c>
      <c r="E20" s="2" t="s">
        <v>174</v>
      </c>
      <c r="F20" s="11">
        <v>-3.2713754646840149E-2</v>
      </c>
      <c r="G20" s="11">
        <v>-0.25806451612903225</v>
      </c>
      <c r="H20" s="11">
        <v>-8.9686098654708519E-3</v>
      </c>
      <c r="I20" s="11">
        <v>-2.8429282160625444E-3</v>
      </c>
      <c r="J20" s="11">
        <v>-4.8687350835322198E-2</v>
      </c>
      <c r="K20" s="11">
        <v>-0.10666666666666667</v>
      </c>
      <c r="L20" s="11">
        <v>-0.5</v>
      </c>
      <c r="M20" s="11">
        <v>-0.48484848484848486</v>
      </c>
      <c r="N20" s="11">
        <v>-5.9405940594059403E-2</v>
      </c>
      <c r="O20" s="11">
        <v>5.4054054054054057E-2</v>
      </c>
      <c r="P20" s="11">
        <v>2.3529411764705882E-2</v>
      </c>
      <c r="Q20" s="11">
        <v>0.10909090909090909</v>
      </c>
      <c r="R20" s="11">
        <v>-5.1794302626711058E-3</v>
      </c>
      <c r="S20" s="11">
        <v>0</v>
      </c>
      <c r="T20" s="11">
        <v>-0.14814814814814814</v>
      </c>
      <c r="U20" s="11">
        <v>-2.6745913818722138E-2</v>
      </c>
      <c r="V20" s="11">
        <v>-1.8181818181818181</v>
      </c>
    </row>
    <row r="21" spans="1:22" x14ac:dyDescent="0.3">
      <c r="A21">
        <v>8039300</v>
      </c>
      <c r="B21" t="s">
        <v>11</v>
      </c>
      <c r="C21" s="2" t="s">
        <v>497</v>
      </c>
      <c r="D21" s="2">
        <v>45313</v>
      </c>
      <c r="E21" s="2" t="s">
        <v>177</v>
      </c>
      <c r="F21" s="11">
        <v>-0.15993665874901028</v>
      </c>
      <c r="G21" s="11" t="s">
        <v>13</v>
      </c>
      <c r="H21" s="11">
        <v>-1</v>
      </c>
      <c r="I21" s="11">
        <v>-0.2076923076923077</v>
      </c>
      <c r="J21" s="11">
        <v>5.5284552845528454E-2</v>
      </c>
      <c r="K21" s="11" t="s">
        <v>13</v>
      </c>
      <c r="L21" s="11" t="s">
        <v>13</v>
      </c>
      <c r="M21" s="11" t="s">
        <v>13</v>
      </c>
      <c r="N21" s="11">
        <v>-3.3898305084745763E-2</v>
      </c>
      <c r="O21" s="11">
        <v>2</v>
      </c>
      <c r="P21" s="11">
        <v>-1.8823529411764706</v>
      </c>
      <c r="Q21" s="11" t="s">
        <v>13</v>
      </c>
      <c r="R21" s="11">
        <v>-0.12058212058212059</v>
      </c>
      <c r="S21" s="11">
        <v>-1.2820512820512822</v>
      </c>
      <c r="T21" s="11">
        <v>8.6956521739130432E-2</v>
      </c>
      <c r="U21" s="11">
        <v>4.8000000000000001E-2</v>
      </c>
      <c r="V21" s="11" t="s">
        <v>13</v>
      </c>
    </row>
    <row r="22" spans="1:22" x14ac:dyDescent="0.3">
      <c r="A22">
        <v>8039700</v>
      </c>
      <c r="B22" t="s">
        <v>24</v>
      </c>
      <c r="C22" s="2" t="s">
        <v>497</v>
      </c>
      <c r="D22" s="2">
        <v>45336</v>
      </c>
      <c r="E22" s="2" t="s">
        <v>177</v>
      </c>
      <c r="F22" s="11">
        <v>5.9443393677384489E-3</v>
      </c>
      <c r="G22" s="11">
        <v>1.3245033112582781E-2</v>
      </c>
      <c r="H22" s="11">
        <v>-6.4516129032258063E-2</v>
      </c>
      <c r="I22" s="11">
        <v>1.243640474844545E-2</v>
      </c>
      <c r="J22" s="11">
        <v>-1.2507817385866166E-3</v>
      </c>
      <c r="K22" s="11">
        <v>-1.6E-2</v>
      </c>
      <c r="L22" s="11">
        <v>0.5</v>
      </c>
      <c r="M22" s="11">
        <v>1.1834319526627219E-2</v>
      </c>
      <c r="N22" s="11">
        <v>0</v>
      </c>
      <c r="O22" s="11">
        <v>-0.66666666666666663</v>
      </c>
      <c r="P22" s="11">
        <v>0</v>
      </c>
      <c r="Q22" s="11">
        <v>-0.18181818181818182</v>
      </c>
      <c r="R22" s="11">
        <v>1.1076923076923076E-2</v>
      </c>
      <c r="S22" s="11">
        <v>4.5112781954887216E-2</v>
      </c>
      <c r="T22" s="11">
        <v>-1.4814814814814815E-2</v>
      </c>
      <c r="U22" s="11">
        <v>8.23045267489712E-3</v>
      </c>
      <c r="V22" s="11">
        <v>-2</v>
      </c>
    </row>
    <row r="23" spans="1:22" x14ac:dyDescent="0.3">
      <c r="A23">
        <v>8042700</v>
      </c>
      <c r="B23" t="s">
        <v>10</v>
      </c>
      <c r="C23" t="s">
        <v>497</v>
      </c>
      <c r="D23" s="2">
        <v>45309</v>
      </c>
      <c r="E23" t="s">
        <v>176</v>
      </c>
      <c r="F23" s="11">
        <v>-5.445808862786973E-2</v>
      </c>
      <c r="G23" s="11">
        <v>-9.1152815013404831E-2</v>
      </c>
      <c r="H23" s="11">
        <v>-3.6208732694355698E-2</v>
      </c>
      <c r="I23" s="11">
        <v>-2.0202020202020204E-2</v>
      </c>
      <c r="J23" s="11">
        <v>2.247191011235955E-2</v>
      </c>
      <c r="K23" s="11">
        <v>0</v>
      </c>
      <c r="L23" s="11">
        <v>-9.579100145137881E-2</v>
      </c>
      <c r="M23" s="11">
        <v>-0.22222222222222221</v>
      </c>
      <c r="N23" s="11">
        <v>6.6666666666666666E-2</v>
      </c>
      <c r="O23" s="11">
        <v>-4.3583535108958835E-2</v>
      </c>
      <c r="P23" s="11">
        <v>-3.7735849056603772E-2</v>
      </c>
      <c r="Q23" s="11">
        <v>4.0816326530612242E-2</v>
      </c>
      <c r="R23" s="11">
        <v>0</v>
      </c>
      <c r="S23" s="11">
        <v>-9.0909090909090912E-2</v>
      </c>
      <c r="T23" s="11">
        <v>4.6511627906976744E-2</v>
      </c>
      <c r="U23" s="11">
        <v>0.5</v>
      </c>
      <c r="V23" s="11">
        <v>-0.10526315789473684</v>
      </c>
    </row>
    <row r="24" spans="1:22" x14ac:dyDescent="0.3">
      <c r="A24">
        <v>8043800</v>
      </c>
      <c r="B24" t="s">
        <v>12</v>
      </c>
      <c r="C24" s="2" t="s">
        <v>497</v>
      </c>
      <c r="D24" s="2">
        <v>45314</v>
      </c>
      <c r="E24" t="s">
        <v>176</v>
      </c>
      <c r="F24" s="11">
        <v>-4.3234587670136111E-2</v>
      </c>
      <c r="G24" s="11">
        <v>-4.71253534401508E-2</v>
      </c>
      <c r="H24" s="11" t="s">
        <v>178</v>
      </c>
      <c r="I24" s="11">
        <v>-7.6923076923076927E-2</v>
      </c>
      <c r="J24" s="11">
        <v>4.7619047619047616E-2</v>
      </c>
      <c r="K24" s="11">
        <v>-3.5714285714285712E-2</v>
      </c>
      <c r="L24" s="11">
        <v>-3.0696576151121605E-2</v>
      </c>
      <c r="M24" s="11">
        <v>-0.19607843137254902</v>
      </c>
      <c r="N24" s="11" t="s">
        <v>178</v>
      </c>
      <c r="O24" s="11" t="s">
        <v>178</v>
      </c>
      <c r="P24" s="11" t="s">
        <v>178</v>
      </c>
      <c r="Q24" s="11">
        <v>-0.15384615384615385</v>
      </c>
      <c r="R24" s="11">
        <v>1.4285714285714286</v>
      </c>
      <c r="S24" s="11">
        <v>-0.22222222222222221</v>
      </c>
      <c r="T24" s="11">
        <v>0</v>
      </c>
      <c r="U24" s="11">
        <v>0</v>
      </c>
      <c r="V24" s="11">
        <v>6.25E-2</v>
      </c>
    </row>
    <row r="25" spans="1:22" x14ac:dyDescent="0.3">
      <c r="A25">
        <v>8047600</v>
      </c>
      <c r="B25" t="s">
        <v>23</v>
      </c>
      <c r="C25" t="s">
        <v>497</v>
      </c>
      <c r="D25" s="2">
        <v>45336</v>
      </c>
      <c r="E25" t="s">
        <v>177</v>
      </c>
      <c r="F25" s="11">
        <v>-0.18232623122598673</v>
      </c>
      <c r="G25" s="11" t="s">
        <v>13</v>
      </c>
      <c r="H25" s="11">
        <v>-7.3239436619718309E-2</v>
      </c>
      <c r="I25" s="11">
        <v>-0.12545061283345349</v>
      </c>
      <c r="J25" s="11">
        <v>-0.28724353256021412</v>
      </c>
      <c r="K25" s="11" t="s">
        <v>13</v>
      </c>
      <c r="L25" s="11" t="s">
        <v>13</v>
      </c>
      <c r="M25" s="11" t="s">
        <v>13</v>
      </c>
      <c r="N25" s="11">
        <v>-0.26315789473684209</v>
      </c>
      <c r="O25" s="11">
        <v>2</v>
      </c>
      <c r="P25" s="11">
        <v>-5.6074766355140186E-2</v>
      </c>
      <c r="Q25" s="11" t="s">
        <v>13</v>
      </c>
      <c r="R25" s="11">
        <v>-0.13864818024263431</v>
      </c>
      <c r="S25" s="11">
        <v>-6.0085836909871244E-2</v>
      </c>
      <c r="T25" s="11">
        <v>-0.23529411764705882</v>
      </c>
      <c r="U25" s="11">
        <v>-0.29244357212953875</v>
      </c>
      <c r="V25" s="11" t="s">
        <v>13</v>
      </c>
    </row>
    <row r="26" spans="1:22" x14ac:dyDescent="0.3">
      <c r="A26">
        <v>8051100</v>
      </c>
      <c r="B26" t="s">
        <v>25</v>
      </c>
      <c r="C26" t="s">
        <v>497</v>
      </c>
      <c r="D26" s="2">
        <v>45336</v>
      </c>
      <c r="E26" t="s">
        <v>174</v>
      </c>
      <c r="F26" s="12">
        <v>-0.10465116279069768</v>
      </c>
      <c r="G26" s="12">
        <v>-9.5027624309392267E-2</v>
      </c>
      <c r="H26" s="12">
        <v>-0.17085427135678391</v>
      </c>
      <c r="I26" s="12">
        <v>-5.7596822244289969E-2</v>
      </c>
      <c r="J26" s="12">
        <v>-0.10737134909596661</v>
      </c>
      <c r="K26" s="12">
        <v>-7.0921985815602842E-2</v>
      </c>
      <c r="L26" s="12">
        <v>-0.1</v>
      </c>
      <c r="M26" s="12">
        <v>-0.37037037037037035</v>
      </c>
      <c r="N26" s="12">
        <v>-0.18450184501845018</v>
      </c>
      <c r="O26" s="12">
        <v>-5.2539404553415062E-2</v>
      </c>
      <c r="P26" s="12">
        <v>-9.5238095238095233E-2</v>
      </c>
      <c r="Q26" s="12">
        <v>-6.0606060606060608E-2</v>
      </c>
      <c r="R26" s="12">
        <v>-0.13293943870014771</v>
      </c>
      <c r="S26" s="12">
        <v>-0.30158730158730157</v>
      </c>
      <c r="T26" s="12">
        <v>-9.2307692307692313E-2</v>
      </c>
      <c r="U26" s="12">
        <v>-2.8460543337645538E-2</v>
      </c>
      <c r="V26" s="12">
        <v>-0.23076923076923078</v>
      </c>
    </row>
    <row r="27" spans="1:22" x14ac:dyDescent="0.3">
      <c r="A27">
        <v>8056150</v>
      </c>
      <c r="B27" t="s">
        <v>519</v>
      </c>
      <c r="C27" t="s">
        <v>497</v>
      </c>
      <c r="D27" s="2">
        <v>45301</v>
      </c>
      <c r="E27" t="s">
        <v>174</v>
      </c>
      <c r="F27" s="12">
        <v>-0.19175704989154013</v>
      </c>
      <c r="G27" s="12">
        <v>-3.3149171270718231E-2</v>
      </c>
      <c r="H27" s="12">
        <v>-0.81081081081081086</v>
      </c>
      <c r="I27" s="12">
        <v>-0.11182401466544455</v>
      </c>
      <c r="J27" s="12">
        <v>-0.42902208201892744</v>
      </c>
      <c r="K27" s="12">
        <v>-0.14814814814814814</v>
      </c>
      <c r="L27" s="12">
        <v>1.1794871794871795</v>
      </c>
      <c r="M27" s="12">
        <v>0</v>
      </c>
      <c r="N27" s="12">
        <v>-1.0769230769230769</v>
      </c>
      <c r="O27" s="12">
        <v>0.22222222222222221</v>
      </c>
      <c r="P27" s="12">
        <v>-2</v>
      </c>
      <c r="Q27" s="12">
        <v>-1.0857142857142856</v>
      </c>
      <c r="R27" s="12">
        <v>-4.2042042042042045E-2</v>
      </c>
      <c r="S27" s="12">
        <v>-0.18181818181818182</v>
      </c>
      <c r="T27" s="12">
        <v>0.66666666666666663</v>
      </c>
      <c r="U27" s="12">
        <v>-4.2959427207637228E-2</v>
      </c>
      <c r="V27" s="12">
        <v>-1.4136125654450262</v>
      </c>
    </row>
    <row r="28" spans="1:22" x14ac:dyDescent="0.3">
      <c r="A28">
        <v>8001000</v>
      </c>
      <c r="B28" t="s">
        <v>22</v>
      </c>
      <c r="C28" t="s">
        <v>517</v>
      </c>
      <c r="D28" s="2">
        <v>45100</v>
      </c>
      <c r="E28" t="s">
        <v>174</v>
      </c>
      <c r="F28" s="11">
        <v>-6.1978877153974432E-2</v>
      </c>
      <c r="G28" s="11">
        <v>-6.1456752655538696E-2</v>
      </c>
      <c r="H28" s="11">
        <v>-2.0475561426684281E-2</v>
      </c>
      <c r="I28" s="11">
        <v>-0.14490861618798956</v>
      </c>
      <c r="J28" s="11" t="s">
        <v>13</v>
      </c>
      <c r="K28" s="11">
        <v>-2.9585798816568046E-2</v>
      </c>
      <c r="L28" s="11">
        <v>-9.7181729834791061E-3</v>
      </c>
      <c r="M28" s="11">
        <v>-0.55000000000000004</v>
      </c>
      <c r="N28" s="11">
        <v>-0.16544117647058823</v>
      </c>
      <c r="O28" s="11">
        <v>5.6338028169014086E-2</v>
      </c>
      <c r="P28" s="11">
        <v>-0.25988700564971751</v>
      </c>
      <c r="Q28" s="11">
        <v>-4.2682926829268296E-2</v>
      </c>
      <c r="R28" s="11">
        <v>-0.24652777777777779</v>
      </c>
      <c r="S28" s="11">
        <v>-0.10509554140127389</v>
      </c>
      <c r="T28" s="11" t="s">
        <v>13</v>
      </c>
      <c r="U28" s="11" t="s">
        <v>13</v>
      </c>
      <c r="V28" s="11" t="s">
        <v>13</v>
      </c>
    </row>
    <row r="29" spans="1:22" x14ac:dyDescent="0.3">
      <c r="A29">
        <v>8001100</v>
      </c>
      <c r="B29" t="s">
        <v>21</v>
      </c>
      <c r="C29" t="s">
        <v>517</v>
      </c>
      <c r="D29" s="2">
        <v>45105</v>
      </c>
      <c r="E29" t="s">
        <v>174</v>
      </c>
      <c r="F29" s="11">
        <v>-6.3651591289782247E-2</v>
      </c>
      <c r="G29" s="11">
        <v>-5.0847457627118647E-2</v>
      </c>
      <c r="H29" s="11">
        <v>-3.8834951456310676E-2</v>
      </c>
      <c r="I29" s="11">
        <v>-4.4692737430167599E-2</v>
      </c>
      <c r="J29" s="11">
        <v>-2.553191489361702E-2</v>
      </c>
      <c r="K29" s="11">
        <v>2.197802197802198E-2</v>
      </c>
      <c r="L29" s="11">
        <v>3.4013605442176874E-2</v>
      </c>
      <c r="M29" s="11">
        <v>-2</v>
      </c>
      <c r="N29" s="11">
        <v>-2.6315789473684209E-2</v>
      </c>
      <c r="O29" s="11">
        <v>8.8888888888888892E-2</v>
      </c>
      <c r="P29" s="11">
        <v>-2</v>
      </c>
      <c r="Q29" s="11">
        <v>-5.7142857142857141E-2</v>
      </c>
      <c r="R29" s="11">
        <v>-0.14173228346456693</v>
      </c>
      <c r="S29" s="11">
        <v>2.0408163265306121E-2</v>
      </c>
      <c r="T29" s="11">
        <v>0.1276595744680851</v>
      </c>
      <c r="U29" s="11">
        <v>7.407407407407407E-2</v>
      </c>
      <c r="V29" s="11">
        <v>-0.41509433962264153</v>
      </c>
    </row>
    <row r="30" spans="1:22" x14ac:dyDescent="0.3">
      <c r="A30">
        <v>8001200</v>
      </c>
      <c r="B30" t="s">
        <v>3</v>
      </c>
      <c r="C30" t="s">
        <v>517</v>
      </c>
      <c r="D30" s="2">
        <v>45100</v>
      </c>
      <c r="E30" t="s">
        <v>176</v>
      </c>
      <c r="F30" s="11">
        <v>-4.8500555349870418E-2</v>
      </c>
      <c r="G30" s="11">
        <v>-5.6338028169014088E-3</v>
      </c>
      <c r="H30" s="11">
        <v>-5.4968287526427059E-2</v>
      </c>
      <c r="I30" s="11">
        <v>-6.8796068796068796E-2</v>
      </c>
      <c r="J30" s="11">
        <v>-0.13562231759656651</v>
      </c>
      <c r="K30" s="11">
        <v>-0.26737967914438504</v>
      </c>
      <c r="L30" s="11">
        <v>5.0251256281407038E-2</v>
      </c>
      <c r="M30" s="11">
        <v>4.878048780487805E-2</v>
      </c>
      <c r="N30" s="11">
        <v>-0.23076923076923078</v>
      </c>
      <c r="O30" s="11">
        <v>2.0618556701030927E-2</v>
      </c>
      <c r="P30" s="11">
        <v>-0.16666666666666666</v>
      </c>
      <c r="Q30" s="11">
        <v>-0.21468926553672316</v>
      </c>
      <c r="R30" s="11">
        <v>-1.0968921389396709E-2</v>
      </c>
      <c r="S30" s="11">
        <v>-0.13333333333333333</v>
      </c>
      <c r="T30" s="11">
        <v>-0.30598669623059865</v>
      </c>
      <c r="U30" s="11">
        <v>-1.2958963282937365E-2</v>
      </c>
      <c r="V30" s="11">
        <v>-5.5776892430278883E-2</v>
      </c>
    </row>
    <row r="31" spans="1:22" x14ac:dyDescent="0.3">
      <c r="A31" s="9">
        <v>8005200</v>
      </c>
      <c r="B31" s="9" t="s">
        <v>34</v>
      </c>
      <c r="C31" s="2" t="s">
        <v>517</v>
      </c>
      <c r="D31" s="2">
        <v>45098</v>
      </c>
      <c r="E31" s="2" t="s">
        <v>177</v>
      </c>
      <c r="F31" s="11">
        <v>1.44E-2</v>
      </c>
      <c r="G31" s="11">
        <v>1.2711864406779662E-2</v>
      </c>
      <c r="H31" s="11">
        <v>2.1024967148488831E-2</v>
      </c>
      <c r="I31" s="11">
        <v>-4.2148760330578509E-2</v>
      </c>
      <c r="J31" s="11">
        <v>-0.20801317233809002</v>
      </c>
      <c r="K31" s="11">
        <v>-0.1619718309859155</v>
      </c>
      <c r="L31" s="11">
        <v>8.8693957115009742E-2</v>
      </c>
      <c r="M31" s="11">
        <v>-0.25471698113207547</v>
      </c>
      <c r="N31" s="11">
        <v>-9.6385542168674704E-2</v>
      </c>
      <c r="O31" s="11">
        <v>4.4491525423728813E-2</v>
      </c>
      <c r="P31" s="11">
        <v>-4.0404040404040404E-3</v>
      </c>
      <c r="Q31" s="11">
        <v>-7.2202166064981949E-2</v>
      </c>
      <c r="R31" s="11">
        <v>3.1210986267166042E-2</v>
      </c>
      <c r="S31" s="11">
        <v>-0.42424242424242425</v>
      </c>
      <c r="T31" s="11">
        <v>-0.16235632183908047</v>
      </c>
      <c r="U31" s="11">
        <v>1.3812154696132596E-2</v>
      </c>
      <c r="V31" s="11">
        <v>-0.68656716417910446</v>
      </c>
    </row>
    <row r="32" spans="1:22" x14ac:dyDescent="0.3">
      <c r="A32">
        <v>8005400</v>
      </c>
      <c r="B32" t="s">
        <v>20</v>
      </c>
      <c r="C32" t="s">
        <v>517</v>
      </c>
      <c r="D32" s="2">
        <v>45100</v>
      </c>
      <c r="E32" t="s">
        <v>174</v>
      </c>
      <c r="F32" s="11">
        <v>-0.15277374382805692</v>
      </c>
      <c r="G32" s="11">
        <v>-2.1987686895338612E-2</v>
      </c>
      <c r="H32" s="11">
        <v>-0.11712707182320442</v>
      </c>
      <c r="I32" s="11">
        <v>-1.7543859649122806E-2</v>
      </c>
      <c r="J32" s="11">
        <v>1.8927444794952682E-2</v>
      </c>
      <c r="K32" s="11">
        <v>-6.6666666666666666E-2</v>
      </c>
      <c r="L32" s="11">
        <v>-1.0940919037199124E-3</v>
      </c>
      <c r="M32" s="11">
        <v>-0.11398963730569948</v>
      </c>
      <c r="N32" s="11">
        <v>-7.8125E-3</v>
      </c>
      <c r="O32" s="11">
        <v>-5.1671732522796353E-2</v>
      </c>
      <c r="P32" s="11">
        <v>-0.59663865546218486</v>
      </c>
      <c r="Q32" s="11">
        <v>-5.5555555555555552E-2</v>
      </c>
      <c r="R32" s="11">
        <v>-0.23404255319148937</v>
      </c>
      <c r="S32" s="11">
        <v>0.18852459016393441</v>
      </c>
      <c r="T32" s="11">
        <v>-1.9108280254777069E-2</v>
      </c>
      <c r="U32" s="11">
        <v>0.11475409836065574</v>
      </c>
      <c r="V32" s="11">
        <v>-0.13157894736842105</v>
      </c>
    </row>
    <row r="33" spans="1:22" x14ac:dyDescent="0.3">
      <c r="A33">
        <v>8013100</v>
      </c>
      <c r="B33" t="s">
        <v>14</v>
      </c>
      <c r="C33" s="2" t="s">
        <v>517</v>
      </c>
      <c r="D33" s="2">
        <v>45098</v>
      </c>
      <c r="E33" t="s">
        <v>176</v>
      </c>
      <c r="F33" s="11">
        <v>-0.17454688731284476</v>
      </c>
      <c r="G33" s="11">
        <v>2.0477815699658702E-2</v>
      </c>
      <c r="H33" s="11">
        <v>-2.0876826722338204E-2</v>
      </c>
      <c r="I33" s="11">
        <v>8.6021505376344093E-2</v>
      </c>
      <c r="J33" s="11">
        <v>0</v>
      </c>
      <c r="K33" s="11">
        <v>-9.5238095238095233E-2</v>
      </c>
      <c r="L33" s="11">
        <v>2.5862068965517241E-2</v>
      </c>
      <c r="M33" s="11">
        <v>1.9801980198019802E-2</v>
      </c>
      <c r="N33" s="11">
        <v>0.1</v>
      </c>
      <c r="O33" s="11">
        <v>-2.4691358024691357E-2</v>
      </c>
      <c r="P33" s="11">
        <v>-0.11764705882352941</v>
      </c>
      <c r="Q33" s="11">
        <v>9.7560975609756101E-2</v>
      </c>
      <c r="R33" s="11">
        <v>0.125</v>
      </c>
      <c r="S33" s="11">
        <v>5.5555555555555552E-2</v>
      </c>
      <c r="T33" s="11">
        <v>-8.3333333333333329E-2</v>
      </c>
      <c r="U33" s="11">
        <v>4.6511627906976744E-2</v>
      </c>
      <c r="V33" s="11">
        <v>0.10526315789473684</v>
      </c>
    </row>
    <row r="34" spans="1:22" x14ac:dyDescent="0.3">
      <c r="A34">
        <v>8013500</v>
      </c>
      <c r="B34" t="s">
        <v>15</v>
      </c>
      <c r="C34" t="s">
        <v>517</v>
      </c>
      <c r="D34" s="2">
        <v>45112</v>
      </c>
      <c r="E34" t="s">
        <v>177</v>
      </c>
      <c r="F34" s="11">
        <v>0.25917215428033868</v>
      </c>
      <c r="G34" s="11">
        <v>-1.5174506828528073E-2</v>
      </c>
      <c r="H34" s="11">
        <v>-5.9405940594059403E-2</v>
      </c>
      <c r="I34" s="11">
        <v>-2.4242424242424242E-2</v>
      </c>
      <c r="J34" s="11">
        <v>-1.4492753623188406E-2</v>
      </c>
      <c r="K34" s="11">
        <v>1.3009708737864079</v>
      </c>
      <c r="L34" s="11">
        <v>-1.4551971326164874</v>
      </c>
      <c r="M34" s="11">
        <v>-8.4507042253521125E-2</v>
      </c>
      <c r="N34" s="11">
        <v>-2.8169014084507043E-2</v>
      </c>
      <c r="O34" s="11">
        <v>-0.15172413793103448</v>
      </c>
      <c r="P34" s="11">
        <v>0.50847457627118642</v>
      </c>
      <c r="Q34" s="11">
        <v>-0.625</v>
      </c>
      <c r="R34" s="11">
        <v>7.792207792207792E-2</v>
      </c>
      <c r="S34" s="11">
        <v>0</v>
      </c>
      <c r="T34" s="11">
        <v>-0.66666666666666663</v>
      </c>
      <c r="U34" s="11">
        <v>9.7560975609756097E-3</v>
      </c>
      <c r="V34" s="11">
        <v>-3.0769230769230771E-2</v>
      </c>
    </row>
    <row r="35" spans="1:22" x14ac:dyDescent="0.3">
      <c r="A35">
        <v>8015400</v>
      </c>
      <c r="B35" t="s">
        <v>47</v>
      </c>
      <c r="C35" t="s">
        <v>517</v>
      </c>
      <c r="D35" s="2">
        <v>45100</v>
      </c>
      <c r="E35" t="s">
        <v>176</v>
      </c>
      <c r="F35" s="11">
        <v>-3.3300000000000003E-2</v>
      </c>
      <c r="G35" s="11">
        <v>-4.0399999999999998E-2</v>
      </c>
      <c r="H35" s="11">
        <v>5.6500000000000002E-2</v>
      </c>
      <c r="I35" s="11">
        <v>0</v>
      </c>
      <c r="J35" s="11">
        <v>5.9400000000000001E-2</v>
      </c>
      <c r="K35" s="11">
        <v>0.94440000000000002</v>
      </c>
      <c r="L35" s="11">
        <v>-0.81630000000000003</v>
      </c>
      <c r="M35" s="11">
        <v>0.1429</v>
      </c>
      <c r="N35" s="11">
        <v>0.14810000000000001</v>
      </c>
      <c r="O35" s="11">
        <v>0</v>
      </c>
      <c r="P35" s="11">
        <v>0.28570000000000001</v>
      </c>
      <c r="Q35" s="11">
        <v>-1</v>
      </c>
      <c r="R35" s="11">
        <v>0</v>
      </c>
      <c r="S35" s="11">
        <v>0.1053</v>
      </c>
      <c r="T35" s="11">
        <v>-1.0769</v>
      </c>
      <c r="U35" s="11">
        <v>0.33329999999999999</v>
      </c>
      <c r="V35" s="11">
        <v>0</v>
      </c>
    </row>
    <row r="36" spans="1:22" x14ac:dyDescent="0.3">
      <c r="A36">
        <v>8015500</v>
      </c>
      <c r="B36" t="s">
        <v>4</v>
      </c>
      <c r="C36" s="2" t="s">
        <v>517</v>
      </c>
      <c r="D36" s="2">
        <v>45119</v>
      </c>
      <c r="E36" s="2" t="s">
        <v>177</v>
      </c>
      <c r="F36" s="11">
        <v>-4.4855549923973601E-2</v>
      </c>
      <c r="G36" s="11">
        <v>-0.40837696335078533</v>
      </c>
      <c r="H36" s="11">
        <v>-4.133545310015898E-2</v>
      </c>
      <c r="I36" s="11">
        <v>0</v>
      </c>
      <c r="J36" s="11">
        <v>0</v>
      </c>
      <c r="K36" s="11">
        <v>-0.4</v>
      </c>
      <c r="L36" s="11">
        <v>-0.4157706093189964</v>
      </c>
      <c r="M36" s="11">
        <v>0</v>
      </c>
      <c r="N36" s="11">
        <v>0</v>
      </c>
      <c r="O36" s="11">
        <v>-4.2553191489361701E-2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</row>
    <row r="37" spans="1:22" x14ac:dyDescent="0.3">
      <c r="A37">
        <v>8015700</v>
      </c>
      <c r="B37" t="s">
        <v>48</v>
      </c>
      <c r="C37" t="s">
        <v>517</v>
      </c>
      <c r="D37" s="2">
        <v>45100</v>
      </c>
      <c r="E37" t="s">
        <v>177</v>
      </c>
      <c r="F37" s="11">
        <v>-0.246</v>
      </c>
      <c r="G37" s="11">
        <v>-0.28123184195235329</v>
      </c>
      <c r="H37" s="11">
        <v>-2.038216560509554E-2</v>
      </c>
      <c r="I37" s="11">
        <v>-0.11764705882352941</v>
      </c>
      <c r="J37" s="11">
        <v>0</v>
      </c>
      <c r="K37" s="11">
        <v>-0.26666666666666666</v>
      </c>
      <c r="L37" s="11">
        <v>-0.28960096735187424</v>
      </c>
      <c r="M37" s="11">
        <v>-1.9230769230769232E-2</v>
      </c>
      <c r="N37" s="11">
        <v>-0.3125</v>
      </c>
      <c r="O37" s="11">
        <v>-1.3962765957446808E-2</v>
      </c>
      <c r="P37" s="11">
        <v>-2.9411764705882353E-2</v>
      </c>
      <c r="Q37" s="11">
        <v>-0.125</v>
      </c>
      <c r="R37" s="11">
        <v>-0.25</v>
      </c>
      <c r="S37" s="11">
        <v>-0.04</v>
      </c>
      <c r="T37" s="11">
        <v>0</v>
      </c>
      <c r="U37" s="11">
        <v>0</v>
      </c>
      <c r="V37" s="11">
        <v>0</v>
      </c>
    </row>
    <row r="38" spans="1:22" x14ac:dyDescent="0.3">
      <c r="A38">
        <v>8016800</v>
      </c>
      <c r="B38" t="s">
        <v>49</v>
      </c>
      <c r="C38" t="s">
        <v>517</v>
      </c>
      <c r="D38" s="2">
        <v>45119</v>
      </c>
      <c r="E38" t="s">
        <v>177</v>
      </c>
      <c r="F38" s="11">
        <v>-0.1179</v>
      </c>
      <c r="G38" s="12">
        <v>-3.2733224222585927E-2</v>
      </c>
      <c r="H38" s="12">
        <v>-0.32642487046632124</v>
      </c>
      <c r="I38" s="12">
        <v>-0.15238095238095239</v>
      </c>
      <c r="J38" s="12">
        <v>-0.16981132075471697</v>
      </c>
      <c r="K38" s="11">
        <v>4.2553191489361701E-2</v>
      </c>
      <c r="L38" s="11">
        <v>-3.7243947858473E-2</v>
      </c>
      <c r="M38" s="11">
        <v>-1.9801980198019802E-2</v>
      </c>
      <c r="N38" s="11">
        <v>-0.23333333333333334</v>
      </c>
      <c r="O38" s="11">
        <v>-0.3247863247863248</v>
      </c>
      <c r="P38" s="11">
        <v>-1</v>
      </c>
      <c r="Q38" s="11">
        <v>5.1724137931034482E-2</v>
      </c>
      <c r="R38" s="11">
        <v>-0.375</v>
      </c>
      <c r="S38" s="11">
        <v>-0.41025641025641024</v>
      </c>
      <c r="T38" s="11">
        <v>0</v>
      </c>
      <c r="U38" s="11">
        <v>0.2</v>
      </c>
      <c r="V38" s="11">
        <v>-0.25641025641025639</v>
      </c>
    </row>
    <row r="39" spans="1:22" x14ac:dyDescent="0.3">
      <c r="A39">
        <v>8017000</v>
      </c>
      <c r="B39" t="s">
        <v>50</v>
      </c>
      <c r="C39" t="s">
        <v>517</v>
      </c>
      <c r="D39" s="2">
        <v>45103</v>
      </c>
      <c r="E39" t="s">
        <v>177</v>
      </c>
      <c r="F39" s="11">
        <v>-2.8E-3</v>
      </c>
      <c r="G39" s="11">
        <v>-7.1047957371225573E-2</v>
      </c>
      <c r="H39" s="11">
        <v>-0.30747531734837802</v>
      </c>
      <c r="I39" s="11">
        <v>-0.19444444444444445</v>
      </c>
      <c r="J39" s="11">
        <v>5.2631578947368418E-2</v>
      </c>
      <c r="K39" s="11">
        <v>0.12903225806451613</v>
      </c>
      <c r="L39" s="11">
        <v>-9.419496166484119E-2</v>
      </c>
      <c r="M39" s="11">
        <v>-1.3245033112582781E-2</v>
      </c>
      <c r="N39" s="11">
        <v>-9.9290780141843976E-2</v>
      </c>
      <c r="O39" s="11">
        <v>-0.34704830053667263</v>
      </c>
      <c r="P39" s="11">
        <v>-1.1111111111111112</v>
      </c>
      <c r="Q39" s="11">
        <v>8.5106382978723402E-2</v>
      </c>
      <c r="R39" s="11">
        <v>-1</v>
      </c>
      <c r="S39" s="11">
        <v>-0.66666666666666663</v>
      </c>
      <c r="T39" s="11">
        <v>0</v>
      </c>
      <c r="U39" s="11">
        <v>8.6956521739130432E-2</v>
      </c>
      <c r="V39" s="11">
        <v>4.4444444444444446E-2</v>
      </c>
    </row>
    <row r="40" spans="1:22" x14ac:dyDescent="0.3">
      <c r="A40">
        <v>8023900</v>
      </c>
      <c r="B40" t="s">
        <v>19</v>
      </c>
      <c r="C40" s="2" t="s">
        <v>517</v>
      </c>
      <c r="D40" s="2">
        <v>45100</v>
      </c>
      <c r="E40" t="s">
        <v>177</v>
      </c>
      <c r="F40" s="11">
        <v>0.8845004978426817</v>
      </c>
      <c r="G40" s="11">
        <v>4.7407407407407405E-2</v>
      </c>
      <c r="H40" s="11">
        <v>-4.4806517311608958E-2</v>
      </c>
      <c r="I40" s="11">
        <v>6.4516129032258063E-2</v>
      </c>
      <c r="J40" s="11">
        <v>3.6429872495446266E-3</v>
      </c>
      <c r="K40" s="11">
        <v>0.19704433497536947</v>
      </c>
      <c r="L40" s="11">
        <v>-1.9889502762430938E-2</v>
      </c>
      <c r="M40" s="11">
        <v>5.128205128205128E-2</v>
      </c>
      <c r="N40" s="11">
        <v>-1.6260162601626018E-2</v>
      </c>
      <c r="O40" s="11">
        <v>-3.911342894393742E-2</v>
      </c>
      <c r="P40" s="11">
        <v>-0.13043478260869565</v>
      </c>
      <c r="Q40" s="11">
        <v>-1.4285714285714286</v>
      </c>
      <c r="R40" s="11">
        <v>0.75</v>
      </c>
      <c r="S40" s="11">
        <v>5.128205128205128E-2</v>
      </c>
      <c r="T40" s="11">
        <v>-0.88607594936708856</v>
      </c>
      <c r="U40" s="11">
        <v>0.72340425531914898</v>
      </c>
      <c r="V40" s="11">
        <v>1.0638297872340425E-2</v>
      </c>
    </row>
    <row r="41" spans="1:22" x14ac:dyDescent="0.3">
      <c r="A41">
        <v>8024500</v>
      </c>
      <c r="B41" t="s">
        <v>16</v>
      </c>
      <c r="C41" t="s">
        <v>517</v>
      </c>
      <c r="D41" s="2">
        <v>45106</v>
      </c>
      <c r="E41" t="s">
        <v>176</v>
      </c>
      <c r="F41" s="11">
        <v>1.6973532796317605E-2</v>
      </c>
      <c r="G41" s="11">
        <v>0.27722251446607049</v>
      </c>
      <c r="H41" s="11">
        <v>5.9551430781129157E-2</v>
      </c>
      <c r="I41" s="11">
        <v>3.0065789473684212</v>
      </c>
      <c r="J41" s="11">
        <v>4.5253863134657839E-2</v>
      </c>
      <c r="K41" s="11">
        <v>0.84006462035541196</v>
      </c>
      <c r="L41" s="11">
        <v>4.850444624090542E-3</v>
      </c>
      <c r="M41" s="11">
        <v>2.2222222222222223E-2</v>
      </c>
      <c r="N41" s="11">
        <v>0.2029520295202952</v>
      </c>
      <c r="O41" s="11">
        <v>3.5714285714285712E-2</v>
      </c>
      <c r="P41" s="11">
        <v>-7.9365079365079361E-2</v>
      </c>
      <c r="Q41" s="11">
        <v>-1</v>
      </c>
      <c r="R41" s="11">
        <v>16.666666666666668</v>
      </c>
      <c r="S41" s="11">
        <v>-3.6585365853658534E-2</v>
      </c>
      <c r="T41" s="11">
        <v>-0.47619047619047616</v>
      </c>
      <c r="U41" s="11">
        <v>0.36627906976744184</v>
      </c>
      <c r="V41" s="11">
        <v>4.4515103338632747E-2</v>
      </c>
    </row>
    <row r="42" spans="1:22" x14ac:dyDescent="0.3">
      <c r="A42">
        <v>8024600</v>
      </c>
      <c r="B42" t="s">
        <v>2</v>
      </c>
      <c r="C42" s="2" t="s">
        <v>517</v>
      </c>
      <c r="D42" s="2">
        <v>45103</v>
      </c>
      <c r="E42" s="2" t="s">
        <v>176</v>
      </c>
      <c r="F42" s="11">
        <v>-0.2280752532561505</v>
      </c>
      <c r="G42" s="11">
        <v>4.0404040404040407E-2</v>
      </c>
      <c r="H42" s="11">
        <v>-0.32227488151658767</v>
      </c>
      <c r="I42" s="11">
        <v>8.4507042253521125E-2</v>
      </c>
      <c r="J42" s="11">
        <v>-4.4776119402985072E-2</v>
      </c>
      <c r="K42" s="11">
        <v>0.42857142857142855</v>
      </c>
      <c r="L42" s="11">
        <v>2.2222222222222223E-2</v>
      </c>
      <c r="M42" s="11">
        <v>0</v>
      </c>
      <c r="N42" s="11">
        <v>2.197802197802198E-2</v>
      </c>
      <c r="O42" s="11">
        <v>-0.25605536332179929</v>
      </c>
      <c r="P42" s="11">
        <v>-1.5238095238095237</v>
      </c>
      <c r="Q42" s="11">
        <v>0.14285714285714285</v>
      </c>
      <c r="R42" s="11">
        <v>0.08</v>
      </c>
      <c r="S42" s="11">
        <v>7.5471698113207544E-2</v>
      </c>
      <c r="T42" s="11">
        <v>3.3333333333333333E-2</v>
      </c>
      <c r="U42" s="11">
        <v>-0.13333333333333333</v>
      </c>
      <c r="V42" s="11">
        <v>0.15384615384615385</v>
      </c>
    </row>
    <row r="43" spans="1:22" x14ac:dyDescent="0.3">
      <c r="A43">
        <v>8026500</v>
      </c>
      <c r="B43" t="s">
        <v>18</v>
      </c>
      <c r="C43" t="s">
        <v>517</v>
      </c>
      <c r="D43" s="2">
        <v>45105</v>
      </c>
      <c r="E43" t="s">
        <v>177</v>
      </c>
      <c r="F43" s="11">
        <v>-0.26475745178258331</v>
      </c>
      <c r="G43" s="11">
        <v>0.12239999999999999</v>
      </c>
      <c r="H43" s="11">
        <v>-9.1700000000000004E-2</v>
      </c>
      <c r="I43" s="11">
        <v>-0.1197</v>
      </c>
      <c r="J43" s="11">
        <v>-9.35E-2</v>
      </c>
      <c r="K43" s="11">
        <v>0.22220000000000001</v>
      </c>
      <c r="L43" s="11">
        <v>0.11020000000000001</v>
      </c>
      <c r="M43" s="11">
        <v>0.18179999999999999</v>
      </c>
      <c r="N43" s="11">
        <v>-0.15379999999999999</v>
      </c>
      <c r="O43" s="11">
        <v>2.53E-2</v>
      </c>
      <c r="P43" s="11">
        <v>-2</v>
      </c>
      <c r="Q43" s="11">
        <v>0</v>
      </c>
      <c r="R43" s="11">
        <v>5.7099999999999998E-2</v>
      </c>
      <c r="S43" s="11">
        <v>-0.41860000000000003</v>
      </c>
      <c r="T43" s="11">
        <v>-0.15379999999999999</v>
      </c>
      <c r="U43" s="11">
        <v>-5.1299999999999998E-2</v>
      </c>
      <c r="V43" s="11">
        <v>-0.66669999999999996</v>
      </c>
    </row>
    <row r="44" spans="1:22" ht="13.95" customHeight="1" x14ac:dyDescent="0.3">
      <c r="A44">
        <v>8027200</v>
      </c>
      <c r="B44" t="s">
        <v>518</v>
      </c>
      <c r="C44" t="s">
        <v>517</v>
      </c>
      <c r="D44" s="2">
        <v>45107</v>
      </c>
      <c r="E44" t="s">
        <v>174</v>
      </c>
      <c r="F44" s="11">
        <v>-0.34646856158484063</v>
      </c>
      <c r="G44" s="11">
        <v>-3.4228187919463089E-2</v>
      </c>
      <c r="H44" s="11">
        <v>-5.4504163512490537E-2</v>
      </c>
      <c r="I44" s="11">
        <v>-3.5775127768313458E-2</v>
      </c>
      <c r="J44" s="11">
        <v>-6.0218978102189784E-2</v>
      </c>
      <c r="K44" s="11">
        <v>-4.878048780487805E-2</v>
      </c>
      <c r="L44" s="11">
        <v>-3.614457831325301E-2</v>
      </c>
      <c r="M44" s="11">
        <v>-1.4634146341463415E-2</v>
      </c>
      <c r="N44" s="11">
        <v>-4.6296296296296294E-2</v>
      </c>
      <c r="O44" s="11">
        <v>-5.5710306406685235E-2</v>
      </c>
      <c r="P44" s="11">
        <v>-5.1470588235294115E-2</v>
      </c>
      <c r="Q44" s="11">
        <v>-0.49268292682926829</v>
      </c>
      <c r="R44" s="11">
        <v>5.3140096618357488E-2</v>
      </c>
      <c r="S44" s="11">
        <v>0.39428571428571429</v>
      </c>
      <c r="T44" s="11">
        <v>-3.0534351145038167E-2</v>
      </c>
      <c r="U44" s="11">
        <v>8.4388185654008432E-3</v>
      </c>
      <c r="V44" s="11">
        <v>-0.17222222222222222</v>
      </c>
    </row>
    <row r="45" spans="1:22" x14ac:dyDescent="0.3">
      <c r="A45">
        <v>8027900</v>
      </c>
      <c r="B45" t="s">
        <v>0</v>
      </c>
      <c r="C45" s="2" t="s">
        <v>517</v>
      </c>
      <c r="D45" s="2">
        <v>45103</v>
      </c>
      <c r="E45" s="2" t="s">
        <v>174</v>
      </c>
      <c r="F45" s="11">
        <v>-0.40005316321105794</v>
      </c>
      <c r="G45" s="11">
        <v>-3.9138943248532287E-3</v>
      </c>
      <c r="H45" s="11">
        <v>-2.0066889632107024E-2</v>
      </c>
      <c r="I45" s="11">
        <v>-0.12903225806451613</v>
      </c>
      <c r="J45" s="11">
        <v>-1.7291066282420751E-2</v>
      </c>
      <c r="K45" s="11">
        <v>-2.8169014084507043E-2</v>
      </c>
      <c r="L45" s="11">
        <v>1.5544041450777202E-2</v>
      </c>
      <c r="M45" s="11">
        <v>-7.8212290502793297E-2</v>
      </c>
      <c r="N45" s="11">
        <v>-2.4691358024691357E-2</v>
      </c>
      <c r="O45" s="11">
        <v>-2.6200873362445413E-2</v>
      </c>
      <c r="P45" s="11">
        <v>1.5503875968992248E-2</v>
      </c>
      <c r="Q45" s="11">
        <v>-0.4</v>
      </c>
      <c r="R45" s="11">
        <v>-0.70085470085470081</v>
      </c>
      <c r="S45" s="11">
        <v>0.45</v>
      </c>
      <c r="T45" s="11">
        <v>-6.8965517241379309E-2</v>
      </c>
      <c r="U45" s="11">
        <v>0</v>
      </c>
      <c r="V45" s="11">
        <v>0</v>
      </c>
    </row>
    <row r="46" spans="1:22" x14ac:dyDescent="0.3">
      <c r="A46">
        <v>8034400</v>
      </c>
      <c r="B46" t="s">
        <v>6</v>
      </c>
      <c r="C46" t="s">
        <v>517</v>
      </c>
      <c r="D46" s="2">
        <v>45104</v>
      </c>
      <c r="E46" t="s">
        <v>174</v>
      </c>
      <c r="F46" s="11">
        <v>-0.2603719599427754</v>
      </c>
      <c r="G46" s="11">
        <v>-0.44359999999999999</v>
      </c>
      <c r="H46" s="11">
        <v>-2.7E-2</v>
      </c>
      <c r="I46" s="11">
        <v>0</v>
      </c>
      <c r="J46" s="11">
        <v>0.15379999999999999</v>
      </c>
      <c r="K46" s="11">
        <v>-0.85709999999999997</v>
      </c>
      <c r="L46" s="11">
        <v>-0.59309999999999996</v>
      </c>
      <c r="M46" s="11">
        <v>-0.24390000000000001</v>
      </c>
      <c r="N46" s="11">
        <v>0</v>
      </c>
      <c r="O46" s="11">
        <v>-4.4400000000000002E-2</v>
      </c>
      <c r="P46" s="11">
        <v>0.66669999999999996</v>
      </c>
      <c r="Q46" s="11">
        <v>7.4099999999999999E-2</v>
      </c>
      <c r="R46" s="11">
        <v>-0.66669999999999996</v>
      </c>
      <c r="S46" s="11">
        <v>0</v>
      </c>
      <c r="T46" s="11">
        <v>0</v>
      </c>
      <c r="U46" s="11">
        <v>0.66669999999999996</v>
      </c>
      <c r="V46" s="11">
        <v>0</v>
      </c>
    </row>
    <row r="47" spans="1:22" x14ac:dyDescent="0.3">
      <c r="A47">
        <v>8039300</v>
      </c>
      <c r="B47" t="s">
        <v>11</v>
      </c>
      <c r="C47" t="s">
        <v>517</v>
      </c>
      <c r="D47" s="2">
        <v>45103</v>
      </c>
      <c r="E47" t="s">
        <v>177</v>
      </c>
      <c r="F47" s="11">
        <v>-0.10993176648976498</v>
      </c>
      <c r="G47" s="11">
        <v>-0.11435832274459974</v>
      </c>
      <c r="H47" s="11">
        <v>-0.18901098901098901</v>
      </c>
      <c r="I47" s="11">
        <v>-0.19834710743801653</v>
      </c>
      <c r="J47" s="11">
        <v>0</v>
      </c>
      <c r="K47" s="11">
        <v>-0.34343434343434343</v>
      </c>
      <c r="L47" s="11">
        <v>-0.12037037037037036</v>
      </c>
      <c r="M47" s="11">
        <v>-1.5625E-2</v>
      </c>
      <c r="N47" s="11">
        <v>-0.4</v>
      </c>
      <c r="O47" s="11">
        <v>-0.18779342723004694</v>
      </c>
      <c r="P47" s="11">
        <v>0.22222222222222221</v>
      </c>
      <c r="Q47" s="11">
        <v>-0.24299065420560748</v>
      </c>
      <c r="R47" s="11">
        <v>0.18181818181818182</v>
      </c>
      <c r="S47" s="11">
        <v>0.11764705882352941</v>
      </c>
      <c r="T47" s="11">
        <v>0</v>
      </c>
      <c r="U47" s="11">
        <v>0</v>
      </c>
      <c r="V47" s="11">
        <v>0</v>
      </c>
    </row>
    <row r="48" spans="1:22" x14ac:dyDescent="0.3">
      <c r="A48">
        <v>8039700</v>
      </c>
      <c r="B48" t="s">
        <v>24</v>
      </c>
      <c r="C48" t="s">
        <v>517</v>
      </c>
      <c r="D48" s="2">
        <v>45104</v>
      </c>
      <c r="E48" t="s">
        <v>177</v>
      </c>
      <c r="F48" s="11">
        <v>-4.1979949874686714E-2</v>
      </c>
      <c r="G48" s="11">
        <v>-6.59E-2</v>
      </c>
      <c r="H48" s="11">
        <v>-3.6999999999999998E-2</v>
      </c>
      <c r="I48" s="11">
        <v>-0.16839999999999999</v>
      </c>
      <c r="J48" s="11">
        <v>-0.30509999999999998</v>
      </c>
      <c r="K48" s="11">
        <v>-0.1961</v>
      </c>
      <c r="L48" s="11">
        <v>0.15079999999999999</v>
      </c>
      <c r="M48" s="11">
        <v>-1.6521999999999999</v>
      </c>
      <c r="N48" s="11">
        <v>0</v>
      </c>
      <c r="O48" s="11">
        <v>2.3300000000000001E-2</v>
      </c>
      <c r="P48" s="11">
        <v>-0.85709999999999997</v>
      </c>
      <c r="Q48" s="11">
        <v>0</v>
      </c>
      <c r="R48" s="11">
        <v>0.10340000000000001</v>
      </c>
      <c r="S48" s="11">
        <v>-2</v>
      </c>
      <c r="T48" s="11">
        <v>6.0600000000000001E-2</v>
      </c>
      <c r="U48" s="11">
        <v>9.5200000000000007E-2</v>
      </c>
      <c r="V48" s="11">
        <v>-2</v>
      </c>
    </row>
    <row r="49" spans="1:22" x14ac:dyDescent="0.3">
      <c r="A49">
        <v>8042700</v>
      </c>
      <c r="B49" t="s">
        <v>10</v>
      </c>
      <c r="C49" t="s">
        <v>517</v>
      </c>
      <c r="D49" s="2">
        <v>45103</v>
      </c>
      <c r="E49" t="s">
        <v>176</v>
      </c>
      <c r="F49" s="11">
        <v>0.22184133202742409</v>
      </c>
      <c r="G49" s="11">
        <v>-4.4393853158793399E-2</v>
      </c>
      <c r="H49" s="11">
        <v>1.1409942950285249E-2</v>
      </c>
      <c r="I49" s="11">
        <v>-0.11227402473834443</v>
      </c>
      <c r="J49" s="11">
        <v>-0.29432213209733488</v>
      </c>
      <c r="K49" s="11">
        <v>-0.12429378531073447</v>
      </c>
      <c r="L49" s="11">
        <v>0</v>
      </c>
      <c r="M49" s="11">
        <v>-0.14225941422594143</v>
      </c>
      <c r="N49" s="11">
        <v>-1.7094017094017096E-2</v>
      </c>
      <c r="O49" s="11">
        <v>0.2608695652173913</v>
      </c>
      <c r="P49" s="11">
        <v>-2</v>
      </c>
      <c r="Q49" s="11">
        <v>-2.2988505747126436E-2</v>
      </c>
      <c r="R49" s="11">
        <v>3.3240997229916899E-2</v>
      </c>
      <c r="S49" s="11">
        <v>-2</v>
      </c>
      <c r="T49" s="11">
        <v>3.8834951456310676E-2</v>
      </c>
      <c r="U49" s="11">
        <v>7.6628352490421452E-3</v>
      </c>
      <c r="V49" s="11">
        <v>-1.9703703703703703</v>
      </c>
    </row>
    <row r="50" spans="1:22" x14ac:dyDescent="0.3">
      <c r="A50">
        <v>8043800</v>
      </c>
      <c r="B50" t="s">
        <v>12</v>
      </c>
      <c r="C50" s="2" t="s">
        <v>517</v>
      </c>
      <c r="D50" s="2">
        <v>45098</v>
      </c>
      <c r="E50" t="s">
        <v>176</v>
      </c>
      <c r="F50" s="11">
        <v>-0.38228055783429038</v>
      </c>
      <c r="G50" s="11">
        <v>0</v>
      </c>
      <c r="H50" s="11">
        <v>0</v>
      </c>
      <c r="I50" s="11">
        <v>-0.13682092555331993</v>
      </c>
      <c r="J50" s="11">
        <v>-9.7794822627037398E-2</v>
      </c>
      <c r="K50" s="11">
        <v>-9.5238095238095233E-2</v>
      </c>
      <c r="L50" s="11">
        <v>7.6923076923076927E-2</v>
      </c>
      <c r="M50" s="11">
        <v>0.15384615384615385</v>
      </c>
      <c r="N50" s="11">
        <v>-0.10256410256410256</v>
      </c>
      <c r="O50" s="11">
        <v>0.14285714285714285</v>
      </c>
      <c r="P50" s="11">
        <v>0</v>
      </c>
      <c r="Q50" s="11">
        <v>-0.18181818181818182</v>
      </c>
      <c r="R50" s="11">
        <v>-0.12446351931330472</v>
      </c>
      <c r="S50" s="11">
        <v>-0.35294117647058826</v>
      </c>
      <c r="T50" s="11">
        <v>-3.5087719298245612E-2</v>
      </c>
      <c r="U50" s="11">
        <v>-0.11510791366906475</v>
      </c>
      <c r="V50" s="11">
        <v>-2.1052631578947368E-2</v>
      </c>
    </row>
    <row r="51" spans="1:22" x14ac:dyDescent="0.3">
      <c r="A51">
        <v>8047600</v>
      </c>
      <c r="B51" t="s">
        <v>23</v>
      </c>
      <c r="C51" s="2" t="s">
        <v>517</v>
      </c>
      <c r="D51" s="2">
        <v>45104</v>
      </c>
      <c r="E51" s="2" t="s">
        <v>177</v>
      </c>
      <c r="F51" s="11">
        <v>-3.6617725101715903E-2</v>
      </c>
      <c r="G51" s="11">
        <v>-7.1400000000000005E-2</v>
      </c>
      <c r="H51" s="11">
        <v>-0.1017</v>
      </c>
      <c r="I51" s="11">
        <v>-1.2999999999999999E-2</v>
      </c>
      <c r="J51" s="11">
        <v>0.04</v>
      </c>
      <c r="K51" s="11">
        <v>-6.9000000000000006E-2</v>
      </c>
      <c r="L51" s="11">
        <v>0.2</v>
      </c>
      <c r="M51" s="11">
        <v>-0.85709999999999997</v>
      </c>
      <c r="N51" s="11">
        <v>-0.16669999999999999</v>
      </c>
      <c r="O51" s="11">
        <v>0.33329999999999999</v>
      </c>
      <c r="P51" s="11">
        <v>-0.26090000000000002</v>
      </c>
      <c r="Q51" s="11">
        <v>0</v>
      </c>
      <c r="R51" s="11">
        <v>-1.43E-2</v>
      </c>
      <c r="S51" s="11">
        <v>0</v>
      </c>
      <c r="T51" s="11">
        <v>0</v>
      </c>
      <c r="U51" s="11">
        <v>4.5199999999999997E-2</v>
      </c>
      <c r="V51" s="11">
        <v>4.8800000000000003E-2</v>
      </c>
    </row>
    <row r="52" spans="1:22" x14ac:dyDescent="0.3">
      <c r="A52">
        <v>8051100</v>
      </c>
      <c r="B52" t="s">
        <v>25</v>
      </c>
      <c r="C52" t="s">
        <v>517</v>
      </c>
      <c r="D52" s="2">
        <v>45099</v>
      </c>
      <c r="E52" t="s">
        <v>174</v>
      </c>
      <c r="F52" s="12">
        <v>-1.9614361702127658E-2</v>
      </c>
      <c r="G52" s="12">
        <v>0</v>
      </c>
      <c r="H52" s="12">
        <v>-8.7936865839909811E-2</v>
      </c>
      <c r="I52" s="12" t="s">
        <v>13</v>
      </c>
      <c r="J52" s="12">
        <v>0</v>
      </c>
      <c r="K52" s="12">
        <v>0.16666666666666666</v>
      </c>
      <c r="L52" s="12">
        <v>-1.1363636363636364E-2</v>
      </c>
      <c r="M52" s="12" t="s">
        <v>13</v>
      </c>
      <c r="N52" s="12" t="s">
        <v>13</v>
      </c>
      <c r="O52" s="12">
        <v>-0.10012836970474968</v>
      </c>
      <c r="P52" s="12">
        <v>0</v>
      </c>
      <c r="Q52" s="12" t="s">
        <v>13</v>
      </c>
      <c r="R52" s="12" t="s">
        <v>13</v>
      </c>
      <c r="S52" s="12" t="s">
        <v>13</v>
      </c>
      <c r="T52" s="12">
        <v>-2.197802197802198E-2</v>
      </c>
      <c r="U52" s="12" t="s">
        <v>13</v>
      </c>
      <c r="V52" s="12">
        <v>2.4691358024691357E-2</v>
      </c>
    </row>
    <row r="53" spans="1:22" x14ac:dyDescent="0.3">
      <c r="A53">
        <v>8056150</v>
      </c>
      <c r="B53" t="s">
        <v>519</v>
      </c>
      <c r="C53" t="s">
        <v>517</v>
      </c>
      <c r="D53" s="2">
        <v>45098</v>
      </c>
      <c r="E53" t="s">
        <v>174</v>
      </c>
      <c r="F53" s="12">
        <v>-0.38102893890675243</v>
      </c>
      <c r="G53" s="12">
        <v>-0.34770889487870621</v>
      </c>
      <c r="H53" s="12">
        <v>-0.10416666666666667</v>
      </c>
      <c r="I53" s="12">
        <v>-0.41400491400491402</v>
      </c>
      <c r="J53" s="12">
        <v>-0.36910197869101979</v>
      </c>
      <c r="K53" s="12">
        <v>-0.25</v>
      </c>
      <c r="L53" s="12">
        <v>3.8461538461538464E-2</v>
      </c>
      <c r="M53" s="12">
        <v>-0.9907407407407407</v>
      </c>
      <c r="N53" s="12">
        <v>-5.2631578947368418E-2</v>
      </c>
      <c r="O53" s="12">
        <v>-6.25E-2</v>
      </c>
      <c r="P53" s="12">
        <v>-0.23076923076923078</v>
      </c>
      <c r="Q53" s="12">
        <v>-0.49230769230769234</v>
      </c>
      <c r="R53" s="12">
        <v>-0.39288256227758006</v>
      </c>
      <c r="S53" s="12">
        <v>-0.9285714285714286</v>
      </c>
      <c r="T53" s="12">
        <v>-0.25</v>
      </c>
      <c r="U53" s="12">
        <v>-4.5510455104551047E-2</v>
      </c>
      <c r="V53" s="12">
        <v>-0.91546391752577316</v>
      </c>
    </row>
    <row r="54" spans="1:22" x14ac:dyDescent="0.3"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</row>
    <row r="55" spans="1:22" x14ac:dyDescent="0.3">
      <c r="B55" t="s">
        <v>508</v>
      </c>
      <c r="C55">
        <v>5</v>
      </c>
    </row>
    <row r="56" spans="1:22" x14ac:dyDescent="0.3">
      <c r="B56" t="s">
        <v>509</v>
      </c>
      <c r="C56">
        <v>4</v>
      </c>
    </row>
    <row r="57" spans="1:22" x14ac:dyDescent="0.3">
      <c r="B57" t="s">
        <v>510</v>
      </c>
      <c r="C57">
        <v>1</v>
      </c>
    </row>
    <row r="58" spans="1:22" x14ac:dyDescent="0.3">
      <c r="B58" t="s">
        <v>511</v>
      </c>
      <c r="C58">
        <v>0</v>
      </c>
    </row>
    <row r="59" spans="1:22" x14ac:dyDescent="0.3">
      <c r="B59" t="s">
        <v>512</v>
      </c>
      <c r="C59">
        <v>2</v>
      </c>
    </row>
    <row r="60" spans="1:22" x14ac:dyDescent="0.3">
      <c r="B60" t="s">
        <v>513</v>
      </c>
      <c r="C60">
        <v>2</v>
      </c>
    </row>
    <row r="61" spans="1:22" x14ac:dyDescent="0.3">
      <c r="B61" t="s">
        <v>514</v>
      </c>
      <c r="C61">
        <f>SUM(C55:C60)</f>
        <v>14</v>
      </c>
    </row>
  </sheetData>
  <autoFilter ref="A1:V50" xr:uid="{AB49B738-1EAD-4260-9DA7-6E9B669A033D}">
    <sortState xmlns:xlrd2="http://schemas.microsoft.com/office/spreadsheetml/2017/richdata2" ref="A2:V53">
      <sortCondition ref="C1:C50"/>
    </sortState>
  </autoFilter>
  <sortState xmlns:xlrd2="http://schemas.microsoft.com/office/spreadsheetml/2017/richdata2" ref="A2:F50">
    <sortCondition descending="1" ref="C1:C50"/>
  </sortState>
  <conditionalFormatting sqref="C1:J1 F6:J50">
    <cfRule type="containsText" dxfId="84" priority="539" operator="containsText" text="terra">
      <formula>NOT(ISERROR(SEARCH("terra",C1)))</formula>
    </cfRule>
    <cfRule type="containsText" dxfId="83" priority="538" operator="containsText" text="encore">
      <formula>NOT(ISERROR(SEARCH("encore",C1)))</formula>
    </cfRule>
    <cfRule type="containsText" dxfId="82" priority="537" operator="containsText" text="vision">
      <formula>NOT(ISERROR(SEARCH("vision",C1)))</formula>
    </cfRule>
    <cfRule type="containsText" dxfId="81" priority="536" operator="containsText" text="solo">
      <formula>NOT(ISERROR(SEARCH("solo",C1)))</formula>
    </cfRule>
  </conditionalFormatting>
  <conditionalFormatting sqref="F2:J3 E4:J5">
    <cfRule type="containsText" dxfId="80" priority="552" operator="containsText" text="terra">
      <formula>NOT(ISERROR(SEARCH("terra",E2)))</formula>
    </cfRule>
    <cfRule type="containsText" dxfId="79" priority="551" operator="containsText" text="encore">
      <formula>NOT(ISERROR(SEARCH("encore",E2)))</formula>
    </cfRule>
    <cfRule type="containsText" dxfId="78" priority="550" operator="containsText" text="vision">
      <formula>NOT(ISERROR(SEARCH("vision",E2)))</formula>
    </cfRule>
    <cfRule type="containsText" dxfId="77" priority="549" operator="containsText" text="solo">
      <formula>NOT(ISERROR(SEARCH("solo",E2)))</formula>
    </cfRule>
    <cfRule type="containsText" dxfId="76" priority="548" operator="containsText" text="iteris">
      <formula>NOT(ISERROR(SEARCH("iteris",E2)))</formula>
    </cfRule>
    <cfRule type="containsText" dxfId="75" priority="547" operator="containsText" text="flir">
      <formula>NOT(ISERROR(SEARCH("flir",E2)))</formula>
    </cfRule>
  </conditionalFormatting>
  <conditionalFormatting sqref="F6:J50 C1:J1">
    <cfRule type="containsText" dxfId="74" priority="534" operator="containsText" text="flir">
      <formula>NOT(ISERROR(SEARCH("flir",C1)))</formula>
    </cfRule>
    <cfRule type="containsText" dxfId="73" priority="535" operator="containsText" text="iteris">
      <formula>NOT(ISERROR(SEARCH("iteris",C1)))</formula>
    </cfRule>
  </conditionalFormatting>
  <conditionalFormatting sqref="F51:J53">
    <cfRule type="containsText" dxfId="72" priority="53" operator="containsText" text="flir">
      <formula>NOT(ISERROR(SEARCH("flir",F51)))</formula>
    </cfRule>
    <cfRule type="containsText" dxfId="71" priority="54" operator="containsText" text="iteris">
      <formula>NOT(ISERROR(SEARCH("iteris",F51)))</formula>
    </cfRule>
    <cfRule type="containsText" dxfId="70" priority="55" operator="containsText" text="solo">
      <formula>NOT(ISERROR(SEARCH("solo",F51)))</formula>
    </cfRule>
    <cfRule type="containsText" dxfId="69" priority="56" operator="containsText" text="vision">
      <formula>NOT(ISERROR(SEARCH("vision",F51)))</formula>
    </cfRule>
    <cfRule type="containsText" dxfId="68" priority="57" operator="containsText" text="encore">
      <formula>NOT(ISERROR(SEARCH("encore",F51)))</formula>
    </cfRule>
    <cfRule type="containsText" dxfId="67" priority="58" operator="containsText" text="terra">
      <formula>NOT(ISERROR(SEARCH("terra",F51)))</formula>
    </cfRule>
  </conditionalFormatting>
  <conditionalFormatting sqref="F2:V50">
    <cfRule type="cellIs" dxfId="66" priority="150" operator="between">
      <formula>-0.05</formula>
      <formula>0.05</formula>
    </cfRule>
    <cfRule type="containsText" priority="144" stopIfTrue="1" operator="containsText" text="NA">
      <formula>NOT(ISERROR(SEARCH("NA",F2)))</formula>
    </cfRule>
    <cfRule type="containsBlanks" priority="145" stopIfTrue="1">
      <formula>LEN(TRIM(F2))=0</formula>
    </cfRule>
    <cfRule type="cellIs" dxfId="65" priority="146" operator="lessThan">
      <formula>-0.1</formula>
    </cfRule>
    <cfRule type="cellIs" dxfId="64" priority="147" operator="greaterThan">
      <formula>0.1</formula>
    </cfRule>
    <cfRule type="cellIs" dxfId="63" priority="148" operator="between">
      <formula>-0.1</formula>
      <formula>-0.05</formula>
    </cfRule>
    <cfRule type="cellIs" dxfId="62" priority="149" operator="between">
      <formula>0.1</formula>
      <formula>0.05</formula>
    </cfRule>
  </conditionalFormatting>
  <conditionalFormatting sqref="F51:V53">
    <cfRule type="containsBlanks" priority="47" stopIfTrue="1">
      <formula>LEN(TRIM(F51))=0</formula>
    </cfRule>
    <cfRule type="cellIs" dxfId="61" priority="52" operator="between">
      <formula>-0.05</formula>
      <formula>0.05</formula>
    </cfRule>
    <cfRule type="cellIs" dxfId="60" priority="51" operator="between">
      <formula>0.1</formula>
      <formula>0.05</formula>
    </cfRule>
    <cfRule type="cellIs" dxfId="59" priority="50" operator="between">
      <formula>-0.1</formula>
      <formula>-0.05</formula>
    </cfRule>
    <cfRule type="cellIs" dxfId="58" priority="49" operator="greaterThan">
      <formula>0.1</formula>
    </cfRule>
    <cfRule type="cellIs" dxfId="57" priority="48" operator="lessThan">
      <formula>-0.1</formula>
    </cfRule>
    <cfRule type="containsText" priority="46" stopIfTrue="1" operator="containsText" text="NA">
      <formula>NOT(ISERROR(SEARCH("NA",F51)))</formula>
    </cfRule>
  </conditionalFormatting>
  <conditionalFormatting sqref="N44:P44">
    <cfRule type="containsText" dxfId="56" priority="64" operator="containsText" text="terra">
      <formula>NOT(ISERROR(SEARCH("terra",N44)))</formula>
    </cfRule>
    <cfRule type="containsText" dxfId="55" priority="63" operator="containsText" text="encore">
      <formula>NOT(ISERROR(SEARCH("encore",N44)))</formula>
    </cfRule>
    <cfRule type="containsText" dxfId="54" priority="62" operator="containsText" text="vision">
      <formula>NOT(ISERROR(SEARCH("vision",N44)))</formula>
    </cfRule>
    <cfRule type="containsText" dxfId="53" priority="61" operator="containsText" text="solo">
      <formula>NOT(ISERROR(SEARCH("solo",N44)))</formula>
    </cfRule>
    <cfRule type="containsText" dxfId="52" priority="60" operator="containsText" text="iteris">
      <formula>NOT(ISERROR(SEARCH("iteris",N44)))</formula>
    </cfRule>
    <cfRule type="containsText" dxfId="51" priority="59" operator="containsText" text="flir">
      <formula>NOT(ISERROR(SEARCH("flir",N44)))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F83C9-5D8B-4148-BB57-A0D8C204E3BE}">
  <sheetPr codeName="Sheet4"/>
  <dimension ref="A1:V238"/>
  <sheetViews>
    <sheetView workbookViewId="0">
      <selection activeCell="X6" sqref="X6"/>
    </sheetView>
  </sheetViews>
  <sheetFormatPr defaultRowHeight="14.4" x14ac:dyDescent="0.3"/>
  <cols>
    <col min="1" max="1" width="8" bestFit="1" customWidth="1"/>
    <col min="2" max="2" width="73.44140625" bestFit="1" customWidth="1"/>
    <col min="3" max="3" width="15.6640625" customWidth="1"/>
    <col min="4" max="4" width="9.88671875" style="24" bestFit="1" customWidth="1"/>
    <col min="5" max="5" width="15.33203125" bestFit="1" customWidth="1"/>
    <col min="6" max="6" width="9.5546875" style="12" bestFit="1" customWidth="1"/>
    <col min="7" max="7" width="12.33203125" style="12" bestFit="1" customWidth="1"/>
    <col min="8" max="8" width="13" style="12" bestFit="1" customWidth="1"/>
    <col min="9" max="9" width="12.5546875" style="12" bestFit="1" customWidth="1"/>
    <col min="10" max="10" width="12.33203125" style="12" bestFit="1" customWidth="1"/>
    <col min="11" max="22" width="8.6640625" style="12" customWidth="1"/>
  </cols>
  <sheetData>
    <row r="1" spans="1:22" s="1" customFormat="1" ht="16.2" thickBot="1" x14ac:dyDescent="0.35">
      <c r="A1" s="7" t="s">
        <v>27</v>
      </c>
      <c r="B1" s="8" t="s">
        <v>26</v>
      </c>
      <c r="C1" s="3" t="s">
        <v>516</v>
      </c>
      <c r="D1" s="30" t="s">
        <v>175</v>
      </c>
      <c r="E1" s="4" t="s">
        <v>173</v>
      </c>
      <c r="F1" s="10" t="s">
        <v>172</v>
      </c>
      <c r="G1" s="10" t="s">
        <v>159</v>
      </c>
      <c r="H1" s="10" t="s">
        <v>163</v>
      </c>
      <c r="I1" s="10" t="s">
        <v>167</v>
      </c>
      <c r="J1" s="10" t="s">
        <v>171</v>
      </c>
      <c r="K1" s="10" t="s">
        <v>156</v>
      </c>
      <c r="L1" s="10" t="s">
        <v>157</v>
      </c>
      <c r="M1" s="10" t="s">
        <v>158</v>
      </c>
      <c r="N1" s="10" t="s">
        <v>160</v>
      </c>
      <c r="O1" s="10" t="s">
        <v>161</v>
      </c>
      <c r="P1" s="10" t="s">
        <v>162</v>
      </c>
      <c r="Q1" s="10" t="s">
        <v>164</v>
      </c>
      <c r="R1" s="10" t="s">
        <v>165</v>
      </c>
      <c r="S1" s="10" t="s">
        <v>166</v>
      </c>
      <c r="T1" s="10" t="s">
        <v>168</v>
      </c>
      <c r="U1" s="10" t="s">
        <v>169</v>
      </c>
      <c r="V1" s="10" t="s">
        <v>170</v>
      </c>
    </row>
    <row r="2" spans="1:22" ht="15.6" thickTop="1" thickBot="1" x14ac:dyDescent="0.35">
      <c r="A2" s="13">
        <v>8059100</v>
      </c>
      <c r="B2" s="6" t="s">
        <v>496</v>
      </c>
      <c r="C2" t="s">
        <v>13</v>
      </c>
      <c r="D2" s="24" t="s">
        <v>13</v>
      </c>
      <c r="E2" s="24" t="s">
        <v>13</v>
      </c>
    </row>
    <row r="3" spans="1:22" ht="15.6" thickTop="1" thickBot="1" x14ac:dyDescent="0.35">
      <c r="A3" s="13">
        <v>8008400</v>
      </c>
      <c r="B3" s="6" t="s">
        <v>40</v>
      </c>
      <c r="C3" t="s">
        <v>13</v>
      </c>
      <c r="D3" s="24" t="s">
        <v>13</v>
      </c>
      <c r="E3" s="24" t="s">
        <v>13</v>
      </c>
    </row>
    <row r="4" spans="1:22" ht="15.6" thickTop="1" thickBot="1" x14ac:dyDescent="0.35">
      <c r="A4" s="13">
        <v>8018400</v>
      </c>
      <c r="B4" s="6" t="s">
        <v>192</v>
      </c>
      <c r="C4" t="s">
        <v>13</v>
      </c>
      <c r="D4" s="24" t="s">
        <v>13</v>
      </c>
      <c r="E4" s="24" t="s">
        <v>13</v>
      </c>
    </row>
    <row r="5" spans="1:22" ht="15.6" thickTop="1" thickBot="1" x14ac:dyDescent="0.35">
      <c r="A5" s="13">
        <v>8044600</v>
      </c>
      <c r="B5" s="6" t="s">
        <v>110</v>
      </c>
      <c r="C5" t="s">
        <v>13</v>
      </c>
      <c r="D5" s="24" t="s">
        <v>13</v>
      </c>
      <c r="E5" s="24" t="s">
        <v>13</v>
      </c>
    </row>
    <row r="6" spans="1:22" ht="15.6" thickTop="1" thickBot="1" x14ac:dyDescent="0.35">
      <c r="A6" s="13">
        <v>8022400</v>
      </c>
      <c r="B6" s="6" t="s">
        <v>62</v>
      </c>
      <c r="C6" t="s">
        <v>504</v>
      </c>
      <c r="D6" s="23">
        <v>46051</v>
      </c>
      <c r="E6" s="32">
        <v>0.625</v>
      </c>
      <c r="F6" s="57">
        <v>-0.37469999999999998</v>
      </c>
      <c r="G6" s="57">
        <v>-0.57389999999999997</v>
      </c>
      <c r="H6" s="57">
        <v>-0.1905</v>
      </c>
      <c r="I6" s="57">
        <v>-0.16919999999999999</v>
      </c>
      <c r="J6" s="57">
        <v>-0.60870000000000002</v>
      </c>
      <c r="K6" s="57">
        <v>0</v>
      </c>
      <c r="L6" s="57">
        <v>-0.42970000000000003</v>
      </c>
      <c r="M6" s="57">
        <v>-1</v>
      </c>
      <c r="N6" s="35">
        <v>0</v>
      </c>
      <c r="O6" s="35">
        <v>-0.2</v>
      </c>
      <c r="P6" s="35">
        <v>0</v>
      </c>
      <c r="Q6" s="57">
        <v>-0.15909999999999999</v>
      </c>
      <c r="R6" s="57">
        <v>-0.25</v>
      </c>
      <c r="S6" s="57">
        <v>-0.1111</v>
      </c>
      <c r="T6" s="57">
        <v>0</v>
      </c>
      <c r="U6" s="57">
        <v>-0.82350000000000001</v>
      </c>
      <c r="V6" s="58">
        <v>0</v>
      </c>
    </row>
    <row r="7" spans="1:22" ht="15.6" thickTop="1" thickBot="1" x14ac:dyDescent="0.35">
      <c r="A7" s="13">
        <v>8052100</v>
      </c>
      <c r="B7" s="6" t="s">
        <v>233</v>
      </c>
      <c r="C7" t="s">
        <v>13</v>
      </c>
      <c r="D7" s="24" t="s">
        <v>13</v>
      </c>
      <c r="E7" s="24" t="s">
        <v>13</v>
      </c>
    </row>
    <row r="8" spans="1:22" ht="15.6" thickTop="1" thickBot="1" x14ac:dyDescent="0.35">
      <c r="A8" s="13">
        <v>8037200</v>
      </c>
      <c r="B8" s="6" t="s">
        <v>209</v>
      </c>
      <c r="C8" t="s">
        <v>13</v>
      </c>
      <c r="D8" s="24" t="s">
        <v>13</v>
      </c>
      <c r="E8" s="24" t="s">
        <v>13</v>
      </c>
    </row>
    <row r="9" spans="1:22" ht="15.6" thickTop="1" thickBot="1" x14ac:dyDescent="0.35">
      <c r="A9" s="13">
        <v>8057300</v>
      </c>
      <c r="B9" s="6" t="s">
        <v>141</v>
      </c>
      <c r="C9" t="s">
        <v>13</v>
      </c>
      <c r="D9" s="24" t="s">
        <v>13</v>
      </c>
      <c r="E9" s="24" t="s">
        <v>13</v>
      </c>
    </row>
    <row r="10" spans="1:22" ht="15.6" thickTop="1" thickBot="1" x14ac:dyDescent="0.35">
      <c r="A10" s="13">
        <v>8051400</v>
      </c>
      <c r="B10" s="6" t="s">
        <v>229</v>
      </c>
      <c r="C10" t="s">
        <v>13</v>
      </c>
      <c r="D10" s="24" t="s">
        <v>13</v>
      </c>
      <c r="E10" s="24" t="s">
        <v>13</v>
      </c>
    </row>
    <row r="11" spans="1:22" ht="15.6" thickTop="1" thickBot="1" x14ac:dyDescent="0.35">
      <c r="A11" s="13">
        <v>8037400</v>
      </c>
      <c r="B11" s="6" t="s">
        <v>211</v>
      </c>
      <c r="C11" t="s">
        <v>13</v>
      </c>
      <c r="D11" s="24" t="s">
        <v>13</v>
      </c>
      <c r="E11" s="24" t="s">
        <v>13</v>
      </c>
    </row>
    <row r="12" spans="1:22" ht="15.6" thickTop="1" thickBot="1" x14ac:dyDescent="0.35">
      <c r="A12" s="13">
        <v>8037300</v>
      </c>
      <c r="B12" s="6" t="s">
        <v>210</v>
      </c>
      <c r="C12" t="s">
        <v>13</v>
      </c>
      <c r="D12" s="24" t="s">
        <v>13</v>
      </c>
      <c r="E12" s="24" t="s">
        <v>13</v>
      </c>
    </row>
    <row r="13" spans="1:22" ht="15.6" thickTop="1" thickBot="1" x14ac:dyDescent="0.35">
      <c r="A13" s="13">
        <v>8048500</v>
      </c>
      <c r="B13" s="6" t="s">
        <v>220</v>
      </c>
      <c r="C13" t="s">
        <v>13</v>
      </c>
      <c r="D13" s="24" t="s">
        <v>13</v>
      </c>
      <c r="E13" s="24" t="s">
        <v>13</v>
      </c>
    </row>
    <row r="14" spans="1:22" ht="15.6" thickTop="1" thickBot="1" x14ac:dyDescent="0.35">
      <c r="A14" s="13">
        <v>8052000</v>
      </c>
      <c r="B14" s="6" t="s">
        <v>232</v>
      </c>
      <c r="C14" t="s">
        <v>13</v>
      </c>
      <c r="D14" s="24" t="s">
        <v>13</v>
      </c>
      <c r="E14" s="24" t="s">
        <v>13</v>
      </c>
    </row>
    <row r="15" spans="1:22" ht="15.6" thickTop="1" thickBot="1" x14ac:dyDescent="0.35">
      <c r="A15" s="13">
        <v>8015500</v>
      </c>
      <c r="B15" s="6" t="s">
        <v>4</v>
      </c>
      <c r="C15" t="s">
        <v>13</v>
      </c>
      <c r="D15" s="24" t="s">
        <v>13</v>
      </c>
      <c r="E15" s="24" t="s">
        <v>13</v>
      </c>
    </row>
    <row r="16" spans="1:22" ht="15.6" thickTop="1" thickBot="1" x14ac:dyDescent="0.35">
      <c r="A16" s="13">
        <v>8025600</v>
      </c>
      <c r="B16" s="6" t="s">
        <v>69</v>
      </c>
      <c r="C16" t="s">
        <v>13</v>
      </c>
      <c r="D16" s="24" t="s">
        <v>13</v>
      </c>
      <c r="E16" s="24" t="s">
        <v>13</v>
      </c>
    </row>
    <row r="17" spans="1:5" ht="15.6" thickTop="1" thickBot="1" x14ac:dyDescent="0.35">
      <c r="A17" s="13">
        <v>8043800</v>
      </c>
      <c r="B17" s="6" t="s">
        <v>12</v>
      </c>
      <c r="C17" t="s">
        <v>13</v>
      </c>
      <c r="D17" s="24" t="s">
        <v>13</v>
      </c>
      <c r="E17" s="24" t="s">
        <v>13</v>
      </c>
    </row>
    <row r="18" spans="1:5" ht="15.6" thickTop="1" thickBot="1" x14ac:dyDescent="0.35">
      <c r="A18" s="13">
        <v>8013100</v>
      </c>
      <c r="B18" s="6" t="s">
        <v>14</v>
      </c>
      <c r="C18" t="s">
        <v>13</v>
      </c>
      <c r="D18" s="24" t="s">
        <v>13</v>
      </c>
      <c r="E18" s="24" t="s">
        <v>13</v>
      </c>
    </row>
    <row r="19" spans="1:5" ht="15.6" thickTop="1" thickBot="1" x14ac:dyDescent="0.35">
      <c r="A19" s="13">
        <v>8038800</v>
      </c>
      <c r="B19" s="6" t="s">
        <v>100</v>
      </c>
      <c r="C19" t="s">
        <v>13</v>
      </c>
      <c r="D19" s="24" t="s">
        <v>13</v>
      </c>
      <c r="E19" s="24" t="s">
        <v>13</v>
      </c>
    </row>
    <row r="20" spans="1:5" ht="15.6" thickTop="1" thickBot="1" x14ac:dyDescent="0.35">
      <c r="A20" s="13">
        <v>8021000</v>
      </c>
      <c r="B20" s="6" t="s">
        <v>58</v>
      </c>
      <c r="C20" t="s">
        <v>13</v>
      </c>
      <c r="D20" s="24" t="s">
        <v>13</v>
      </c>
      <c r="E20" s="24" t="s">
        <v>13</v>
      </c>
    </row>
    <row r="21" spans="1:5" ht="15.6" thickTop="1" thickBot="1" x14ac:dyDescent="0.35">
      <c r="A21" s="13">
        <v>8029100</v>
      </c>
      <c r="B21" s="6" t="s">
        <v>83</v>
      </c>
      <c r="C21" t="s">
        <v>13</v>
      </c>
      <c r="D21" s="24" t="s">
        <v>13</v>
      </c>
      <c r="E21" s="24" t="s">
        <v>13</v>
      </c>
    </row>
    <row r="22" spans="1:5" ht="15.6" thickTop="1" thickBot="1" x14ac:dyDescent="0.35">
      <c r="A22" s="13">
        <v>8013500</v>
      </c>
      <c r="B22" s="6" t="s">
        <v>15</v>
      </c>
      <c r="C22" t="s">
        <v>13</v>
      </c>
      <c r="D22" s="24" t="s">
        <v>13</v>
      </c>
      <c r="E22" s="24" t="s">
        <v>13</v>
      </c>
    </row>
    <row r="23" spans="1:5" ht="15.6" thickTop="1" thickBot="1" x14ac:dyDescent="0.35">
      <c r="A23" s="13">
        <v>8031600</v>
      </c>
      <c r="B23" s="6" t="s">
        <v>86</v>
      </c>
      <c r="C23" t="s">
        <v>13</v>
      </c>
      <c r="D23" s="24" t="s">
        <v>13</v>
      </c>
      <c r="E23" s="24" t="s">
        <v>13</v>
      </c>
    </row>
    <row r="24" spans="1:5" ht="15.6" thickTop="1" thickBot="1" x14ac:dyDescent="0.35">
      <c r="A24" s="13">
        <v>8052700</v>
      </c>
      <c r="B24" s="6" t="s">
        <v>120</v>
      </c>
      <c r="C24" t="s">
        <v>13</v>
      </c>
      <c r="D24" s="24" t="s">
        <v>13</v>
      </c>
      <c r="E24" s="24" t="s">
        <v>13</v>
      </c>
    </row>
    <row r="25" spans="1:5" ht="15.6" thickTop="1" thickBot="1" x14ac:dyDescent="0.35">
      <c r="A25" s="13">
        <v>8005200</v>
      </c>
      <c r="B25" s="6" t="s">
        <v>34</v>
      </c>
      <c r="C25" t="s">
        <v>13</v>
      </c>
      <c r="D25" s="24" t="s">
        <v>13</v>
      </c>
      <c r="E25" s="24" t="s">
        <v>13</v>
      </c>
    </row>
    <row r="26" spans="1:5" ht="15.6" thickTop="1" thickBot="1" x14ac:dyDescent="0.35">
      <c r="A26" s="13">
        <v>8024100</v>
      </c>
      <c r="B26" s="6" t="s">
        <v>65</v>
      </c>
      <c r="C26" t="s">
        <v>13</v>
      </c>
      <c r="D26" s="24" t="s">
        <v>13</v>
      </c>
      <c r="E26" s="24" t="s">
        <v>13</v>
      </c>
    </row>
    <row r="27" spans="1:5" ht="15.6" thickTop="1" thickBot="1" x14ac:dyDescent="0.35">
      <c r="A27" s="13">
        <v>8056000</v>
      </c>
      <c r="B27" s="6" t="s">
        <v>135</v>
      </c>
      <c r="C27" t="s">
        <v>13</v>
      </c>
      <c r="D27" s="24" t="s">
        <v>13</v>
      </c>
      <c r="E27" s="24" t="s">
        <v>13</v>
      </c>
    </row>
    <row r="28" spans="1:5" ht="15.6" thickTop="1" thickBot="1" x14ac:dyDescent="0.35">
      <c r="A28" s="13">
        <v>8040000</v>
      </c>
      <c r="B28" s="6" t="s">
        <v>104</v>
      </c>
      <c r="C28" t="s">
        <v>13</v>
      </c>
      <c r="D28" s="24" t="s">
        <v>13</v>
      </c>
      <c r="E28" s="24" t="s">
        <v>13</v>
      </c>
    </row>
    <row r="29" spans="1:5" ht="15.6" thickTop="1" thickBot="1" x14ac:dyDescent="0.35">
      <c r="A29" s="13">
        <v>8035100</v>
      </c>
      <c r="B29" s="6" t="s">
        <v>206</v>
      </c>
      <c r="C29" t="s">
        <v>13</v>
      </c>
      <c r="D29" s="24" t="s">
        <v>13</v>
      </c>
      <c r="E29" s="24" t="s">
        <v>13</v>
      </c>
    </row>
    <row r="30" spans="1:5" ht="15.6" thickTop="1" thickBot="1" x14ac:dyDescent="0.35">
      <c r="A30" s="13">
        <v>8049100</v>
      </c>
      <c r="B30" s="6" t="s">
        <v>223</v>
      </c>
      <c r="C30" t="s">
        <v>13</v>
      </c>
      <c r="D30" s="24" t="s">
        <v>13</v>
      </c>
      <c r="E30" s="24" t="s">
        <v>13</v>
      </c>
    </row>
    <row r="31" spans="1:5" ht="15.6" thickTop="1" thickBot="1" x14ac:dyDescent="0.35">
      <c r="A31" s="13">
        <v>8049200</v>
      </c>
      <c r="B31" s="6" t="s">
        <v>116</v>
      </c>
      <c r="C31" t="s">
        <v>13</v>
      </c>
      <c r="D31" s="24" t="s">
        <v>13</v>
      </c>
      <c r="E31" s="24" t="s">
        <v>13</v>
      </c>
    </row>
    <row r="32" spans="1:5" ht="15.6" thickTop="1" thickBot="1" x14ac:dyDescent="0.35">
      <c r="A32" s="13">
        <v>8054500</v>
      </c>
      <c r="B32" s="6" t="s">
        <v>126</v>
      </c>
      <c r="C32" t="s">
        <v>13</v>
      </c>
      <c r="D32" s="24" t="s">
        <v>13</v>
      </c>
      <c r="E32" s="24" t="s">
        <v>13</v>
      </c>
    </row>
    <row r="33" spans="1:5" ht="15.6" thickTop="1" thickBot="1" x14ac:dyDescent="0.35">
      <c r="A33" s="13">
        <v>8056300</v>
      </c>
      <c r="B33" s="6" t="s">
        <v>137</v>
      </c>
      <c r="C33" t="s">
        <v>13</v>
      </c>
      <c r="D33" s="24" t="s">
        <v>13</v>
      </c>
      <c r="E33" s="24" t="s">
        <v>13</v>
      </c>
    </row>
    <row r="34" spans="1:5" ht="15.6" thickTop="1" thickBot="1" x14ac:dyDescent="0.35">
      <c r="A34" s="13">
        <v>8046600</v>
      </c>
      <c r="B34" s="6" t="s">
        <v>113</v>
      </c>
      <c r="C34" t="s">
        <v>13</v>
      </c>
      <c r="D34" s="24" t="s">
        <v>13</v>
      </c>
      <c r="E34" s="24" t="s">
        <v>13</v>
      </c>
    </row>
    <row r="35" spans="1:5" ht="15.6" thickTop="1" thickBot="1" x14ac:dyDescent="0.35">
      <c r="A35" s="13">
        <v>8008600</v>
      </c>
      <c r="B35" s="6" t="s">
        <v>41</v>
      </c>
      <c r="C35" t="s">
        <v>13</v>
      </c>
      <c r="D35" s="24" t="s">
        <v>13</v>
      </c>
      <c r="E35" s="24" t="s">
        <v>13</v>
      </c>
    </row>
    <row r="36" spans="1:5" ht="15.6" thickTop="1" thickBot="1" x14ac:dyDescent="0.35">
      <c r="A36" s="13">
        <v>8017900</v>
      </c>
      <c r="B36" s="6" t="s">
        <v>52</v>
      </c>
      <c r="C36" t="s">
        <v>13</v>
      </c>
      <c r="D36" s="24" t="s">
        <v>13</v>
      </c>
      <c r="E36" s="24" t="s">
        <v>13</v>
      </c>
    </row>
    <row r="37" spans="1:5" ht="15.6" thickTop="1" thickBot="1" x14ac:dyDescent="0.35">
      <c r="A37" s="13">
        <v>8010300</v>
      </c>
      <c r="B37" s="6" t="s">
        <v>188</v>
      </c>
      <c r="C37" t="s">
        <v>13</v>
      </c>
      <c r="D37" s="24" t="s">
        <v>13</v>
      </c>
      <c r="E37" s="24" t="s">
        <v>13</v>
      </c>
    </row>
    <row r="38" spans="1:5" ht="15.6" thickTop="1" thickBot="1" x14ac:dyDescent="0.35">
      <c r="A38" s="13">
        <v>8024500</v>
      </c>
      <c r="B38" s="6" t="s">
        <v>16</v>
      </c>
      <c r="C38" t="s">
        <v>13</v>
      </c>
      <c r="D38" s="24" t="s">
        <v>13</v>
      </c>
      <c r="E38" s="24" t="s">
        <v>13</v>
      </c>
    </row>
    <row r="39" spans="1:5" ht="15.6" thickTop="1" thickBot="1" x14ac:dyDescent="0.35">
      <c r="A39" s="13">
        <v>8037100</v>
      </c>
      <c r="B39" s="6" t="s">
        <v>208</v>
      </c>
      <c r="C39" t="s">
        <v>13</v>
      </c>
      <c r="D39" s="24" t="s">
        <v>13</v>
      </c>
      <c r="E39" s="24" t="s">
        <v>13</v>
      </c>
    </row>
    <row r="40" spans="1:5" ht="15.6" thickTop="1" thickBot="1" x14ac:dyDescent="0.35">
      <c r="A40" s="13">
        <v>9010810</v>
      </c>
      <c r="B40" s="6" t="s">
        <v>259</v>
      </c>
      <c r="C40" t="s">
        <v>13</v>
      </c>
      <c r="D40" s="24" t="s">
        <v>13</v>
      </c>
      <c r="E40" s="24" t="s">
        <v>13</v>
      </c>
    </row>
    <row r="41" spans="1:5" ht="15.6" thickTop="1" thickBot="1" x14ac:dyDescent="0.35">
      <c r="A41" s="13">
        <v>8057750</v>
      </c>
      <c r="B41" s="6" t="s">
        <v>149</v>
      </c>
      <c r="C41" t="s">
        <v>13</v>
      </c>
      <c r="D41" s="24" t="s">
        <v>13</v>
      </c>
      <c r="E41" s="24" t="s">
        <v>13</v>
      </c>
    </row>
    <row r="42" spans="1:5" ht="15.6" thickTop="1" thickBot="1" x14ac:dyDescent="0.35">
      <c r="A42" s="13">
        <v>8051900</v>
      </c>
      <c r="B42" s="6" t="s">
        <v>231</v>
      </c>
      <c r="C42" t="s">
        <v>13</v>
      </c>
      <c r="D42" s="24" t="s">
        <v>13</v>
      </c>
      <c r="E42" s="24" t="s">
        <v>13</v>
      </c>
    </row>
    <row r="43" spans="1:5" ht="15.6" thickTop="1" thickBot="1" x14ac:dyDescent="0.35">
      <c r="A43" s="13">
        <v>8048700</v>
      </c>
      <c r="B43" s="6" t="s">
        <v>221</v>
      </c>
      <c r="C43" t="s">
        <v>13</v>
      </c>
      <c r="D43" s="24" t="s">
        <v>13</v>
      </c>
      <c r="E43" s="24" t="s">
        <v>13</v>
      </c>
    </row>
    <row r="44" spans="1:5" ht="15.6" thickTop="1" thickBot="1" x14ac:dyDescent="0.35">
      <c r="A44" s="13">
        <v>8040200</v>
      </c>
      <c r="B44" s="6" t="s">
        <v>105</v>
      </c>
      <c r="C44" t="s">
        <v>13</v>
      </c>
      <c r="D44" s="24" t="s">
        <v>13</v>
      </c>
      <c r="E44" s="24" t="s">
        <v>13</v>
      </c>
    </row>
    <row r="45" spans="1:5" ht="15.6" thickTop="1" thickBot="1" x14ac:dyDescent="0.35">
      <c r="A45" s="13">
        <v>8042200</v>
      </c>
      <c r="B45" s="6" t="s">
        <v>106</v>
      </c>
      <c r="C45" t="s">
        <v>13</v>
      </c>
      <c r="D45" s="24" t="s">
        <v>13</v>
      </c>
      <c r="E45" s="24" t="s">
        <v>13</v>
      </c>
    </row>
    <row r="46" spans="1:5" ht="15.6" thickTop="1" thickBot="1" x14ac:dyDescent="0.35">
      <c r="A46" s="13">
        <v>8042300</v>
      </c>
      <c r="B46" s="6" t="s">
        <v>214</v>
      </c>
      <c r="C46" t="s">
        <v>13</v>
      </c>
      <c r="D46" s="24" t="s">
        <v>13</v>
      </c>
      <c r="E46" s="24" t="s">
        <v>13</v>
      </c>
    </row>
    <row r="47" spans="1:5" ht="15.6" thickTop="1" thickBot="1" x14ac:dyDescent="0.35">
      <c r="A47" s="13">
        <v>8030200</v>
      </c>
      <c r="B47" s="6" t="s">
        <v>9</v>
      </c>
      <c r="C47" t="s">
        <v>13</v>
      </c>
      <c r="D47" s="24" t="s">
        <v>13</v>
      </c>
      <c r="E47" s="24" t="s">
        <v>13</v>
      </c>
    </row>
    <row r="48" spans="1:5" ht="15.6" thickTop="1" thickBot="1" x14ac:dyDescent="0.35">
      <c r="A48" s="13">
        <v>8032400</v>
      </c>
      <c r="B48" s="6" t="s">
        <v>5</v>
      </c>
      <c r="C48" t="s">
        <v>13</v>
      </c>
      <c r="D48" s="24" t="s">
        <v>13</v>
      </c>
      <c r="E48" s="24" t="s">
        <v>13</v>
      </c>
    </row>
    <row r="49" spans="1:5" ht="15.6" thickTop="1" thickBot="1" x14ac:dyDescent="0.35">
      <c r="A49" s="13">
        <v>8052300</v>
      </c>
      <c r="B49" s="6" t="s">
        <v>234</v>
      </c>
      <c r="C49" t="s">
        <v>13</v>
      </c>
      <c r="D49" s="24" t="s">
        <v>13</v>
      </c>
      <c r="E49" s="24" t="s">
        <v>13</v>
      </c>
    </row>
    <row r="50" spans="1:5" ht="15.6" thickTop="1" thickBot="1" x14ac:dyDescent="0.35">
      <c r="A50" s="13">
        <v>8047000</v>
      </c>
      <c r="B50" s="6" t="s">
        <v>217</v>
      </c>
      <c r="C50" t="s">
        <v>13</v>
      </c>
      <c r="D50" s="24" t="s">
        <v>13</v>
      </c>
      <c r="E50" s="24" t="s">
        <v>13</v>
      </c>
    </row>
    <row r="51" spans="1:5" ht="15.6" thickTop="1" thickBot="1" x14ac:dyDescent="0.35">
      <c r="A51" s="13">
        <v>8012600</v>
      </c>
      <c r="B51" s="6" t="s">
        <v>189</v>
      </c>
      <c r="C51" t="s">
        <v>13</v>
      </c>
      <c r="D51" s="24" t="s">
        <v>13</v>
      </c>
      <c r="E51" s="24" t="s">
        <v>13</v>
      </c>
    </row>
    <row r="52" spans="1:5" ht="15.6" thickTop="1" thickBot="1" x14ac:dyDescent="0.35">
      <c r="A52" s="13">
        <v>8057925</v>
      </c>
      <c r="B52" s="6" t="s">
        <v>151</v>
      </c>
      <c r="C52" t="s">
        <v>13</v>
      </c>
      <c r="D52" s="24" t="s">
        <v>13</v>
      </c>
      <c r="E52" s="24" t="s">
        <v>13</v>
      </c>
    </row>
    <row r="53" spans="1:5" ht="15.6" thickTop="1" thickBot="1" x14ac:dyDescent="0.35">
      <c r="A53" s="13">
        <v>9010710</v>
      </c>
      <c r="B53" s="6" t="s">
        <v>154</v>
      </c>
      <c r="C53" t="s">
        <v>13</v>
      </c>
      <c r="D53" s="24" t="s">
        <v>13</v>
      </c>
      <c r="E53" s="24" t="s">
        <v>13</v>
      </c>
    </row>
    <row r="54" spans="1:5" ht="15.6" thickTop="1" thickBot="1" x14ac:dyDescent="0.35">
      <c r="A54" s="13">
        <v>9010695</v>
      </c>
      <c r="B54" s="6" t="s">
        <v>257</v>
      </c>
      <c r="C54" t="s">
        <v>13</v>
      </c>
      <c r="D54" s="24" t="s">
        <v>13</v>
      </c>
      <c r="E54" s="24" t="s">
        <v>13</v>
      </c>
    </row>
    <row r="55" spans="1:5" ht="15.6" thickTop="1" thickBot="1" x14ac:dyDescent="0.35">
      <c r="A55" s="13">
        <v>9010690</v>
      </c>
      <c r="B55" s="6" t="s">
        <v>256</v>
      </c>
      <c r="C55" t="s">
        <v>13</v>
      </c>
      <c r="D55" s="24" t="s">
        <v>13</v>
      </c>
      <c r="E55" s="24" t="s">
        <v>13</v>
      </c>
    </row>
    <row r="56" spans="1:5" ht="15.6" thickTop="1" thickBot="1" x14ac:dyDescent="0.35">
      <c r="A56" s="13">
        <v>9010685</v>
      </c>
      <c r="B56" s="6" t="s">
        <v>255</v>
      </c>
      <c r="C56" t="s">
        <v>13</v>
      </c>
      <c r="D56" s="24" t="s">
        <v>13</v>
      </c>
      <c r="E56" s="24" t="s">
        <v>13</v>
      </c>
    </row>
    <row r="57" spans="1:5" ht="15.6" thickTop="1" thickBot="1" x14ac:dyDescent="0.35">
      <c r="A57" s="13">
        <v>8035000</v>
      </c>
      <c r="B57" s="6" t="s">
        <v>94</v>
      </c>
      <c r="C57" t="s">
        <v>13</v>
      </c>
      <c r="D57" s="24" t="s">
        <v>13</v>
      </c>
      <c r="E57" s="24" t="s">
        <v>13</v>
      </c>
    </row>
    <row r="58" spans="1:5" ht="15.6" thickTop="1" thickBot="1" x14ac:dyDescent="0.35">
      <c r="A58" s="13">
        <v>8026400</v>
      </c>
      <c r="B58" s="6" t="s">
        <v>74</v>
      </c>
      <c r="C58" t="s">
        <v>13</v>
      </c>
      <c r="D58" s="24" t="s">
        <v>13</v>
      </c>
      <c r="E58" s="24" t="s">
        <v>13</v>
      </c>
    </row>
    <row r="59" spans="1:5" ht="15.6" thickTop="1" thickBot="1" x14ac:dyDescent="0.35">
      <c r="A59" s="13">
        <v>8045500</v>
      </c>
      <c r="B59" s="6" t="s">
        <v>112</v>
      </c>
      <c r="C59" t="s">
        <v>13</v>
      </c>
      <c r="D59" s="24" t="s">
        <v>13</v>
      </c>
      <c r="E59" s="24" t="s">
        <v>13</v>
      </c>
    </row>
    <row r="60" spans="1:5" ht="15.6" thickTop="1" thickBot="1" x14ac:dyDescent="0.35">
      <c r="A60" s="13">
        <v>8052900</v>
      </c>
      <c r="B60" s="6" t="s">
        <v>236</v>
      </c>
      <c r="C60" t="s">
        <v>13</v>
      </c>
      <c r="D60" s="24" t="s">
        <v>13</v>
      </c>
      <c r="E60" s="24" t="s">
        <v>13</v>
      </c>
    </row>
    <row r="61" spans="1:5" ht="15.6" thickTop="1" thickBot="1" x14ac:dyDescent="0.35">
      <c r="A61" s="13">
        <v>8054000</v>
      </c>
      <c r="B61" s="6" t="s">
        <v>124</v>
      </c>
      <c r="C61" t="s">
        <v>13</v>
      </c>
      <c r="D61" s="24" t="s">
        <v>13</v>
      </c>
      <c r="E61" s="24" t="s">
        <v>13</v>
      </c>
    </row>
    <row r="62" spans="1:5" ht="15.6" thickTop="1" thickBot="1" x14ac:dyDescent="0.35">
      <c r="A62" s="13">
        <v>8053900</v>
      </c>
      <c r="B62" s="6" t="s">
        <v>123</v>
      </c>
      <c r="C62" t="s">
        <v>13</v>
      </c>
      <c r="D62" s="24" t="s">
        <v>13</v>
      </c>
      <c r="E62" s="24" t="s">
        <v>13</v>
      </c>
    </row>
    <row r="63" spans="1:5" ht="15.6" thickTop="1" thickBot="1" x14ac:dyDescent="0.35">
      <c r="A63" s="13">
        <v>8055850</v>
      </c>
      <c r="B63" s="6" t="s">
        <v>17</v>
      </c>
      <c r="C63" t="s">
        <v>13</v>
      </c>
      <c r="D63" s="24" t="s">
        <v>13</v>
      </c>
      <c r="E63" s="24" t="s">
        <v>13</v>
      </c>
    </row>
    <row r="64" spans="1:5" ht="15.6" thickTop="1" thickBot="1" x14ac:dyDescent="0.35">
      <c r="A64" s="13">
        <v>8056450</v>
      </c>
      <c r="B64" s="6" t="s">
        <v>7</v>
      </c>
      <c r="C64" t="s">
        <v>13</v>
      </c>
      <c r="D64" s="24" t="s">
        <v>13</v>
      </c>
      <c r="E64" s="24" t="s">
        <v>13</v>
      </c>
    </row>
    <row r="65" spans="1:5" ht="15.6" thickTop="1" thickBot="1" x14ac:dyDescent="0.35">
      <c r="A65" s="13">
        <v>8025300</v>
      </c>
      <c r="B65" s="6" t="s">
        <v>195</v>
      </c>
      <c r="C65" t="s">
        <v>13</v>
      </c>
      <c r="D65" s="24" t="s">
        <v>13</v>
      </c>
      <c r="E65" s="24" t="s">
        <v>13</v>
      </c>
    </row>
    <row r="66" spans="1:5" ht="15.6" thickTop="1" thickBot="1" x14ac:dyDescent="0.35">
      <c r="A66" s="13">
        <v>8045400</v>
      </c>
      <c r="B66" s="6" t="s">
        <v>216</v>
      </c>
      <c r="C66" t="s">
        <v>13</v>
      </c>
      <c r="D66" s="24" t="s">
        <v>13</v>
      </c>
      <c r="E66" s="24" t="s">
        <v>13</v>
      </c>
    </row>
    <row r="67" spans="1:5" ht="15.6" thickTop="1" thickBot="1" x14ac:dyDescent="0.35">
      <c r="A67" s="13">
        <v>8014800</v>
      </c>
      <c r="B67" s="6" t="s">
        <v>190</v>
      </c>
      <c r="C67" t="s">
        <v>13</v>
      </c>
      <c r="D67" s="24" t="s">
        <v>13</v>
      </c>
      <c r="E67" s="24" t="s">
        <v>13</v>
      </c>
    </row>
    <row r="68" spans="1:5" ht="15.6" thickTop="1" thickBot="1" x14ac:dyDescent="0.35">
      <c r="A68" s="13">
        <v>8033500</v>
      </c>
      <c r="B68" s="6" t="s">
        <v>203</v>
      </c>
      <c r="C68" t="s">
        <v>13</v>
      </c>
      <c r="D68" s="24" t="s">
        <v>13</v>
      </c>
      <c r="E68" s="24" t="s">
        <v>13</v>
      </c>
    </row>
    <row r="69" spans="1:5" ht="15.6" thickTop="1" thickBot="1" x14ac:dyDescent="0.35">
      <c r="A69" s="13">
        <v>8039800</v>
      </c>
      <c r="B69" s="6" t="s">
        <v>103</v>
      </c>
      <c r="C69" t="s">
        <v>13</v>
      </c>
      <c r="D69" s="24" t="s">
        <v>13</v>
      </c>
      <c r="E69" s="24" t="s">
        <v>13</v>
      </c>
    </row>
    <row r="70" spans="1:5" ht="15.6" thickTop="1" thickBot="1" x14ac:dyDescent="0.35">
      <c r="A70" s="13">
        <v>8016800</v>
      </c>
      <c r="B70" s="6" t="s">
        <v>49</v>
      </c>
      <c r="C70" t="s">
        <v>13</v>
      </c>
      <c r="D70" s="24" t="s">
        <v>13</v>
      </c>
      <c r="E70" s="24" t="s">
        <v>13</v>
      </c>
    </row>
    <row r="71" spans="1:5" ht="15.6" thickTop="1" thickBot="1" x14ac:dyDescent="0.35">
      <c r="A71" s="13">
        <v>8025700</v>
      </c>
      <c r="B71" s="6" t="s">
        <v>70</v>
      </c>
      <c r="C71" t="s">
        <v>13</v>
      </c>
      <c r="D71" s="24" t="s">
        <v>13</v>
      </c>
      <c r="E71" s="24" t="s">
        <v>13</v>
      </c>
    </row>
    <row r="72" spans="1:5" ht="15.6" thickTop="1" thickBot="1" x14ac:dyDescent="0.35">
      <c r="A72" s="13">
        <v>8032000</v>
      </c>
      <c r="B72" s="6" t="s">
        <v>198</v>
      </c>
      <c r="C72" t="s">
        <v>13</v>
      </c>
      <c r="D72" s="24" t="s">
        <v>13</v>
      </c>
      <c r="E72" s="24" t="s">
        <v>13</v>
      </c>
    </row>
    <row r="73" spans="1:5" ht="15.6" thickTop="1" thickBot="1" x14ac:dyDescent="0.35">
      <c r="A73" s="13">
        <v>8055100</v>
      </c>
      <c r="B73" s="6" t="s">
        <v>131</v>
      </c>
      <c r="C73" t="s">
        <v>13</v>
      </c>
      <c r="D73" s="24" t="s">
        <v>13</v>
      </c>
      <c r="E73" s="24" t="s">
        <v>13</v>
      </c>
    </row>
    <row r="74" spans="1:5" ht="15.6" thickTop="1" thickBot="1" x14ac:dyDescent="0.35">
      <c r="A74" s="13">
        <v>8057970</v>
      </c>
      <c r="B74" s="6" t="s">
        <v>246</v>
      </c>
      <c r="C74" t="s">
        <v>13</v>
      </c>
      <c r="D74" s="24" t="s">
        <v>13</v>
      </c>
      <c r="E74" s="24" t="s">
        <v>13</v>
      </c>
    </row>
    <row r="75" spans="1:5" ht="15.6" thickTop="1" thickBot="1" x14ac:dyDescent="0.35">
      <c r="A75" s="13">
        <v>8057965</v>
      </c>
      <c r="B75" s="6" t="s">
        <v>245</v>
      </c>
      <c r="C75" t="s">
        <v>13</v>
      </c>
      <c r="D75" s="24" t="s">
        <v>13</v>
      </c>
      <c r="E75" s="24" t="s">
        <v>13</v>
      </c>
    </row>
    <row r="76" spans="1:5" ht="15.6" thickTop="1" thickBot="1" x14ac:dyDescent="0.35">
      <c r="A76" s="13">
        <v>8055800</v>
      </c>
      <c r="B76" s="6" t="s">
        <v>239</v>
      </c>
      <c r="C76" t="s">
        <v>13</v>
      </c>
      <c r="D76" s="24" t="s">
        <v>13</v>
      </c>
      <c r="E76" s="24" t="s">
        <v>13</v>
      </c>
    </row>
    <row r="77" spans="1:5" ht="15.6" thickTop="1" thickBot="1" x14ac:dyDescent="0.35">
      <c r="A77" s="13">
        <v>8036600</v>
      </c>
      <c r="B77" s="6" t="s">
        <v>207</v>
      </c>
      <c r="C77" t="s">
        <v>13</v>
      </c>
      <c r="D77" s="24" t="s">
        <v>13</v>
      </c>
      <c r="E77" s="24" t="s">
        <v>13</v>
      </c>
    </row>
    <row r="78" spans="1:5" ht="15.6" thickTop="1" thickBot="1" x14ac:dyDescent="0.35">
      <c r="A78" s="13">
        <v>8017200</v>
      </c>
      <c r="B78" s="6" t="s">
        <v>191</v>
      </c>
      <c r="C78" t="s">
        <v>13</v>
      </c>
      <c r="D78" s="24" t="s">
        <v>13</v>
      </c>
      <c r="E78" s="24" t="s">
        <v>13</v>
      </c>
    </row>
    <row r="79" spans="1:5" ht="15.6" thickTop="1" thickBot="1" x14ac:dyDescent="0.35">
      <c r="A79" s="13">
        <v>8013200</v>
      </c>
      <c r="B79" s="6" t="s">
        <v>46</v>
      </c>
      <c r="C79" t="s">
        <v>13</v>
      </c>
      <c r="D79" s="24" t="s">
        <v>13</v>
      </c>
      <c r="E79" s="24" t="s">
        <v>13</v>
      </c>
    </row>
    <row r="80" spans="1:5" ht="15.6" thickTop="1" thickBot="1" x14ac:dyDescent="0.35">
      <c r="A80" s="13">
        <v>8031700</v>
      </c>
      <c r="B80" s="6" t="s">
        <v>87</v>
      </c>
      <c r="C80" t="s">
        <v>13</v>
      </c>
      <c r="D80" s="24" t="s">
        <v>13</v>
      </c>
      <c r="E80" s="24" t="s">
        <v>13</v>
      </c>
    </row>
    <row r="81" spans="1:5" ht="15.6" thickTop="1" thickBot="1" x14ac:dyDescent="0.35">
      <c r="A81" s="13">
        <v>8026800</v>
      </c>
      <c r="B81" s="6" t="s">
        <v>77</v>
      </c>
      <c r="C81" t="s">
        <v>13</v>
      </c>
      <c r="D81" s="24" t="s">
        <v>13</v>
      </c>
      <c r="E81" s="24" t="s">
        <v>13</v>
      </c>
    </row>
    <row r="82" spans="1:5" ht="15.6" thickTop="1" thickBot="1" x14ac:dyDescent="0.35">
      <c r="A82" s="13">
        <v>8025900</v>
      </c>
      <c r="B82" s="6" t="s">
        <v>71</v>
      </c>
      <c r="C82" t="s">
        <v>13</v>
      </c>
      <c r="D82" s="24" t="s">
        <v>13</v>
      </c>
      <c r="E82" s="24" t="s">
        <v>13</v>
      </c>
    </row>
    <row r="83" spans="1:5" ht="15.6" thickTop="1" thickBot="1" x14ac:dyDescent="0.35">
      <c r="A83" s="13">
        <v>8026000</v>
      </c>
      <c r="B83" s="6" t="s">
        <v>72</v>
      </c>
      <c r="C83" t="s">
        <v>13</v>
      </c>
      <c r="D83" s="24" t="s">
        <v>13</v>
      </c>
      <c r="E83" s="24" t="s">
        <v>13</v>
      </c>
    </row>
    <row r="84" spans="1:5" ht="15.6" thickTop="1" thickBot="1" x14ac:dyDescent="0.35">
      <c r="A84" s="13">
        <v>8026100</v>
      </c>
      <c r="B84" s="6" t="s">
        <v>73</v>
      </c>
      <c r="C84" t="s">
        <v>13</v>
      </c>
      <c r="D84" s="24" t="s">
        <v>13</v>
      </c>
      <c r="E84" s="24" t="s">
        <v>13</v>
      </c>
    </row>
    <row r="85" spans="1:5" ht="15.6" thickTop="1" thickBot="1" x14ac:dyDescent="0.35">
      <c r="A85" s="13">
        <v>8053600</v>
      </c>
      <c r="B85" s="6" t="s">
        <v>122</v>
      </c>
      <c r="C85" t="s">
        <v>13</v>
      </c>
      <c r="D85" s="24" t="s">
        <v>13</v>
      </c>
      <c r="E85" s="24" t="s">
        <v>13</v>
      </c>
    </row>
    <row r="86" spans="1:5" ht="15.6" thickTop="1" thickBot="1" x14ac:dyDescent="0.35">
      <c r="A86" s="13">
        <v>8026700</v>
      </c>
      <c r="B86" s="6" t="s">
        <v>76</v>
      </c>
      <c r="C86" t="s">
        <v>13</v>
      </c>
      <c r="D86" s="24" t="s">
        <v>13</v>
      </c>
      <c r="E86" s="24" t="s">
        <v>13</v>
      </c>
    </row>
    <row r="87" spans="1:5" ht="15.6" thickTop="1" thickBot="1" x14ac:dyDescent="0.35">
      <c r="A87" s="13">
        <v>8037000</v>
      </c>
      <c r="B87" s="6" t="s">
        <v>97</v>
      </c>
      <c r="C87" t="s">
        <v>13</v>
      </c>
      <c r="D87" s="24" t="s">
        <v>13</v>
      </c>
      <c r="E87" s="24" t="s">
        <v>13</v>
      </c>
    </row>
    <row r="88" spans="1:5" ht="15.6" thickTop="1" thickBot="1" x14ac:dyDescent="0.35">
      <c r="A88" s="13">
        <v>8042600</v>
      </c>
      <c r="B88" s="6" t="s">
        <v>215</v>
      </c>
      <c r="C88" t="s">
        <v>13</v>
      </c>
      <c r="D88" s="24" t="s">
        <v>13</v>
      </c>
      <c r="E88" s="24" t="s">
        <v>13</v>
      </c>
    </row>
    <row r="89" spans="1:5" ht="15.6" thickTop="1" thickBot="1" x14ac:dyDescent="0.35">
      <c r="A89" s="13">
        <v>8042700</v>
      </c>
      <c r="B89" s="6" t="s">
        <v>10</v>
      </c>
      <c r="C89" t="s">
        <v>13</v>
      </c>
      <c r="D89" s="24" t="s">
        <v>13</v>
      </c>
      <c r="E89" s="24" t="s">
        <v>13</v>
      </c>
    </row>
    <row r="90" spans="1:5" ht="15.6" thickTop="1" thickBot="1" x14ac:dyDescent="0.35">
      <c r="A90" s="13">
        <v>8026600</v>
      </c>
      <c r="B90" s="6" t="s">
        <v>75</v>
      </c>
      <c r="C90" t="s">
        <v>13</v>
      </c>
      <c r="D90" s="24" t="s">
        <v>13</v>
      </c>
      <c r="E90" s="24" t="s">
        <v>13</v>
      </c>
    </row>
    <row r="91" spans="1:5" ht="15.6" thickTop="1" thickBot="1" x14ac:dyDescent="0.35">
      <c r="A91" s="13">
        <v>8038300</v>
      </c>
      <c r="B91" s="6" t="s">
        <v>99</v>
      </c>
      <c r="C91" t="s">
        <v>13</v>
      </c>
      <c r="D91" s="24" t="s">
        <v>13</v>
      </c>
      <c r="E91" s="24" t="s">
        <v>13</v>
      </c>
    </row>
    <row r="92" spans="1:5" ht="15.6" thickTop="1" thickBot="1" x14ac:dyDescent="0.35">
      <c r="A92" s="13">
        <v>8026500</v>
      </c>
      <c r="B92" s="6" t="s">
        <v>18</v>
      </c>
      <c r="C92" t="s">
        <v>13</v>
      </c>
      <c r="D92" s="24" t="s">
        <v>13</v>
      </c>
      <c r="E92" s="24" t="s">
        <v>13</v>
      </c>
    </row>
    <row r="93" spans="1:5" ht="15.6" thickTop="1" thickBot="1" x14ac:dyDescent="0.35">
      <c r="A93" s="13">
        <v>8032700</v>
      </c>
      <c r="B93" s="6" t="s">
        <v>199</v>
      </c>
      <c r="C93" t="s">
        <v>13</v>
      </c>
      <c r="D93" s="24" t="s">
        <v>13</v>
      </c>
      <c r="E93" s="24" t="s">
        <v>13</v>
      </c>
    </row>
    <row r="94" spans="1:5" ht="15.6" thickTop="1" thickBot="1" x14ac:dyDescent="0.35">
      <c r="A94" s="13">
        <v>8006100</v>
      </c>
      <c r="B94" s="6" t="s">
        <v>36</v>
      </c>
      <c r="C94" t="s">
        <v>13</v>
      </c>
      <c r="D94" s="24" t="s">
        <v>13</v>
      </c>
      <c r="E94" s="24" t="s">
        <v>13</v>
      </c>
    </row>
    <row r="95" spans="1:5" ht="15.6" thickTop="1" thickBot="1" x14ac:dyDescent="0.35">
      <c r="A95" s="13">
        <v>8025400</v>
      </c>
      <c r="B95" s="6" t="s">
        <v>68</v>
      </c>
      <c r="C95" t="s">
        <v>13</v>
      </c>
      <c r="D95" s="24" t="s">
        <v>13</v>
      </c>
      <c r="E95" s="24" t="s">
        <v>13</v>
      </c>
    </row>
    <row r="96" spans="1:5" ht="15.6" thickTop="1" thickBot="1" x14ac:dyDescent="0.35">
      <c r="A96" s="13">
        <v>8022000</v>
      </c>
      <c r="B96" s="6" t="s">
        <v>60</v>
      </c>
      <c r="C96" t="s">
        <v>13</v>
      </c>
      <c r="D96" s="24" t="s">
        <v>13</v>
      </c>
      <c r="E96" s="24" t="s">
        <v>13</v>
      </c>
    </row>
    <row r="97" spans="1:5" ht="15.6" thickTop="1" thickBot="1" x14ac:dyDescent="0.35">
      <c r="A97" s="13">
        <v>8010200</v>
      </c>
      <c r="B97" s="6" t="s">
        <v>43</v>
      </c>
      <c r="C97" t="s">
        <v>13</v>
      </c>
      <c r="D97" s="24" t="s">
        <v>13</v>
      </c>
      <c r="E97" s="24" t="s">
        <v>13</v>
      </c>
    </row>
    <row r="98" spans="1:5" ht="15.6" thickTop="1" thickBot="1" x14ac:dyDescent="0.35">
      <c r="A98" s="13">
        <v>8054700</v>
      </c>
      <c r="B98" s="6" t="s">
        <v>127</v>
      </c>
      <c r="C98" t="s">
        <v>13</v>
      </c>
      <c r="D98" s="24" t="s">
        <v>13</v>
      </c>
      <c r="E98" s="24" t="s">
        <v>13</v>
      </c>
    </row>
    <row r="99" spans="1:5" ht="15.6" thickTop="1" thickBot="1" x14ac:dyDescent="0.35">
      <c r="A99" s="13">
        <v>8008800</v>
      </c>
      <c r="B99" s="6" t="s">
        <v>185</v>
      </c>
      <c r="C99" t="s">
        <v>13</v>
      </c>
      <c r="D99" s="24" t="s">
        <v>13</v>
      </c>
      <c r="E99" s="24" t="s">
        <v>13</v>
      </c>
    </row>
    <row r="100" spans="1:5" ht="15.6" thickTop="1" thickBot="1" x14ac:dyDescent="0.35">
      <c r="A100" s="13">
        <v>8009500</v>
      </c>
      <c r="B100" s="6" t="s">
        <v>186</v>
      </c>
      <c r="C100" t="s">
        <v>13</v>
      </c>
      <c r="D100" s="24" t="s">
        <v>13</v>
      </c>
      <c r="E100" s="24" t="s">
        <v>13</v>
      </c>
    </row>
    <row r="101" spans="1:5" ht="15.6" thickTop="1" thickBot="1" x14ac:dyDescent="0.35">
      <c r="A101" s="13">
        <v>8005700</v>
      </c>
      <c r="B101" s="6" t="s">
        <v>35</v>
      </c>
      <c r="C101" t="s">
        <v>13</v>
      </c>
      <c r="D101" s="24" t="s">
        <v>13</v>
      </c>
      <c r="E101" s="24" t="s">
        <v>13</v>
      </c>
    </row>
    <row r="102" spans="1:5" ht="15.6" thickTop="1" thickBot="1" x14ac:dyDescent="0.35">
      <c r="A102" s="13">
        <v>8007100</v>
      </c>
      <c r="B102" s="6" t="s">
        <v>184</v>
      </c>
      <c r="C102" t="s">
        <v>13</v>
      </c>
      <c r="D102" s="24" t="s">
        <v>13</v>
      </c>
      <c r="E102" s="24" t="s">
        <v>13</v>
      </c>
    </row>
    <row r="103" spans="1:5" ht="15.6" thickTop="1" thickBot="1" x14ac:dyDescent="0.35">
      <c r="A103" s="13">
        <v>8027600</v>
      </c>
      <c r="B103" s="6" t="s">
        <v>79</v>
      </c>
      <c r="C103" t="s">
        <v>13</v>
      </c>
      <c r="D103" s="24" t="s">
        <v>13</v>
      </c>
      <c r="E103" s="24" t="s">
        <v>13</v>
      </c>
    </row>
    <row r="104" spans="1:5" ht="15.6" thickTop="1" thickBot="1" x14ac:dyDescent="0.35">
      <c r="A104" s="13">
        <v>8054100</v>
      </c>
      <c r="B104" s="6" t="s">
        <v>237</v>
      </c>
      <c r="C104" t="s">
        <v>13</v>
      </c>
      <c r="D104" s="24" t="s">
        <v>13</v>
      </c>
      <c r="E104" s="24" t="s">
        <v>13</v>
      </c>
    </row>
    <row r="105" spans="1:5" ht="15.6" thickTop="1" thickBot="1" x14ac:dyDescent="0.35">
      <c r="A105" s="13">
        <v>8051500</v>
      </c>
      <c r="B105" s="6" t="s">
        <v>230</v>
      </c>
      <c r="C105" t="s">
        <v>13</v>
      </c>
      <c r="D105" s="24" t="s">
        <v>13</v>
      </c>
      <c r="E105" s="24" t="s">
        <v>13</v>
      </c>
    </row>
    <row r="106" spans="1:5" ht="15.6" thickTop="1" thickBot="1" x14ac:dyDescent="0.35">
      <c r="A106" s="13">
        <v>8049800</v>
      </c>
      <c r="B106" s="6" t="s">
        <v>117</v>
      </c>
      <c r="C106" t="s">
        <v>13</v>
      </c>
      <c r="D106" s="24" t="s">
        <v>13</v>
      </c>
      <c r="E106" s="24" t="s">
        <v>13</v>
      </c>
    </row>
    <row r="107" spans="1:5" ht="15.6" thickTop="1" thickBot="1" x14ac:dyDescent="0.35">
      <c r="A107" s="13">
        <v>8054400</v>
      </c>
      <c r="B107" s="6" t="s">
        <v>125</v>
      </c>
      <c r="C107" t="s">
        <v>13</v>
      </c>
      <c r="D107" s="24" t="s">
        <v>13</v>
      </c>
      <c r="E107" s="24" t="s">
        <v>13</v>
      </c>
    </row>
    <row r="108" spans="1:5" ht="15.6" thickTop="1" thickBot="1" x14ac:dyDescent="0.35">
      <c r="A108" s="13">
        <v>8033150</v>
      </c>
      <c r="B108" s="6" t="s">
        <v>200</v>
      </c>
      <c r="C108" t="s">
        <v>13</v>
      </c>
      <c r="D108" s="24" t="s">
        <v>13</v>
      </c>
      <c r="E108" s="24" t="s">
        <v>13</v>
      </c>
    </row>
    <row r="109" spans="1:5" ht="15.6" thickTop="1" thickBot="1" x14ac:dyDescent="0.35">
      <c r="A109" s="13">
        <v>8039900</v>
      </c>
      <c r="B109" s="6" t="s">
        <v>213</v>
      </c>
      <c r="C109" t="s">
        <v>13</v>
      </c>
      <c r="D109" s="24" t="s">
        <v>13</v>
      </c>
      <c r="E109" s="24" t="s">
        <v>13</v>
      </c>
    </row>
    <row r="110" spans="1:5" ht="15.6" thickTop="1" thickBot="1" x14ac:dyDescent="0.35">
      <c r="A110" s="13">
        <v>8030800</v>
      </c>
      <c r="B110" s="6" t="s">
        <v>197</v>
      </c>
      <c r="C110" t="s">
        <v>13</v>
      </c>
      <c r="D110" s="24" t="s">
        <v>13</v>
      </c>
      <c r="E110" s="24" t="s">
        <v>13</v>
      </c>
    </row>
    <row r="111" spans="1:5" ht="15.6" thickTop="1" thickBot="1" x14ac:dyDescent="0.35">
      <c r="A111" s="13">
        <v>8028100</v>
      </c>
      <c r="B111" s="6" t="s">
        <v>80</v>
      </c>
      <c r="C111" t="s">
        <v>13</v>
      </c>
      <c r="D111" s="24" t="s">
        <v>13</v>
      </c>
      <c r="E111" s="24" t="s">
        <v>13</v>
      </c>
    </row>
    <row r="112" spans="1:5" ht="15.6" thickTop="1" thickBot="1" x14ac:dyDescent="0.35">
      <c r="A112" s="13">
        <v>8054900</v>
      </c>
      <c r="B112" s="6" t="s">
        <v>129</v>
      </c>
      <c r="C112" t="s">
        <v>13</v>
      </c>
      <c r="D112" s="24" t="s">
        <v>13</v>
      </c>
      <c r="E112" s="24" t="s">
        <v>13</v>
      </c>
    </row>
    <row r="113" spans="1:5" ht="15.6" thickTop="1" thickBot="1" x14ac:dyDescent="0.35">
      <c r="A113" s="13">
        <v>8023900</v>
      </c>
      <c r="B113" s="6" t="s">
        <v>19</v>
      </c>
      <c r="C113" t="s">
        <v>13</v>
      </c>
      <c r="D113" s="24" t="s">
        <v>13</v>
      </c>
      <c r="E113" s="24" t="s">
        <v>13</v>
      </c>
    </row>
    <row r="114" spans="1:5" ht="15.6" thickTop="1" thickBot="1" x14ac:dyDescent="0.35">
      <c r="A114" s="13">
        <v>8023100</v>
      </c>
      <c r="B114" s="6" t="s">
        <v>63</v>
      </c>
      <c r="C114" t="s">
        <v>13</v>
      </c>
      <c r="D114" s="24" t="s">
        <v>13</v>
      </c>
      <c r="E114" s="24" t="s">
        <v>13</v>
      </c>
    </row>
    <row r="115" spans="1:5" ht="15.6" thickTop="1" thickBot="1" x14ac:dyDescent="0.35">
      <c r="A115" s="13">
        <v>8002100</v>
      </c>
      <c r="B115" s="6" t="s">
        <v>180</v>
      </c>
      <c r="C115" t="s">
        <v>13</v>
      </c>
      <c r="D115" s="24" t="s">
        <v>13</v>
      </c>
      <c r="E115" s="24" t="s">
        <v>13</v>
      </c>
    </row>
    <row r="116" spans="1:5" ht="15.6" thickTop="1" thickBot="1" x14ac:dyDescent="0.35">
      <c r="A116" s="13">
        <v>8002000</v>
      </c>
      <c r="B116" s="6" t="s">
        <v>179</v>
      </c>
      <c r="C116" t="s">
        <v>13</v>
      </c>
      <c r="D116" s="24" t="s">
        <v>13</v>
      </c>
      <c r="E116" s="24" t="s">
        <v>13</v>
      </c>
    </row>
    <row r="117" spans="1:5" ht="15.6" thickTop="1" thickBot="1" x14ac:dyDescent="0.35">
      <c r="A117" s="13">
        <v>8018200</v>
      </c>
      <c r="B117" s="6" t="s">
        <v>53</v>
      </c>
      <c r="C117" t="s">
        <v>13</v>
      </c>
      <c r="D117" s="24" t="s">
        <v>13</v>
      </c>
      <c r="E117" s="24" t="s">
        <v>13</v>
      </c>
    </row>
    <row r="118" spans="1:5" ht="15.6" thickTop="1" thickBot="1" x14ac:dyDescent="0.35">
      <c r="A118" s="13">
        <v>8056200</v>
      </c>
      <c r="B118" s="6" t="s">
        <v>136</v>
      </c>
      <c r="C118" t="s">
        <v>13</v>
      </c>
      <c r="D118" s="24" t="s">
        <v>13</v>
      </c>
      <c r="E118" s="24" t="s">
        <v>13</v>
      </c>
    </row>
    <row r="119" spans="1:5" ht="15.6" thickTop="1" thickBot="1" x14ac:dyDescent="0.35">
      <c r="A119" s="13">
        <v>8050600</v>
      </c>
      <c r="B119" s="6" t="s">
        <v>227</v>
      </c>
      <c r="C119" t="s">
        <v>13</v>
      </c>
      <c r="D119" s="24" t="s">
        <v>13</v>
      </c>
      <c r="E119" s="24" t="s">
        <v>13</v>
      </c>
    </row>
    <row r="120" spans="1:5" ht="15.6" thickTop="1" thickBot="1" x14ac:dyDescent="0.35">
      <c r="A120" s="13">
        <v>9010720</v>
      </c>
      <c r="B120" s="6" t="s">
        <v>258</v>
      </c>
      <c r="C120" t="s">
        <v>13</v>
      </c>
      <c r="D120" s="24" t="s">
        <v>13</v>
      </c>
      <c r="E120" s="24" t="s">
        <v>13</v>
      </c>
    </row>
    <row r="121" spans="1:5" ht="15.6" thickTop="1" thickBot="1" x14ac:dyDescent="0.35">
      <c r="A121" s="13">
        <v>8057150</v>
      </c>
      <c r="B121" s="6" t="s">
        <v>140</v>
      </c>
      <c r="C121" t="s">
        <v>13</v>
      </c>
      <c r="D121" s="24" t="s">
        <v>13</v>
      </c>
      <c r="E121" s="24" t="s">
        <v>13</v>
      </c>
    </row>
    <row r="122" spans="1:5" ht="15.6" thickTop="1" thickBot="1" x14ac:dyDescent="0.35">
      <c r="A122" s="13">
        <v>8057100</v>
      </c>
      <c r="B122" s="6" t="s">
        <v>139</v>
      </c>
      <c r="C122" t="s">
        <v>13</v>
      </c>
      <c r="D122" s="24" t="s">
        <v>13</v>
      </c>
      <c r="E122" s="24" t="s">
        <v>13</v>
      </c>
    </row>
    <row r="123" spans="1:5" ht="15.6" thickTop="1" thickBot="1" x14ac:dyDescent="0.35">
      <c r="A123" s="13">
        <v>8054800</v>
      </c>
      <c r="B123" s="6" t="s">
        <v>128</v>
      </c>
      <c r="C123" t="s">
        <v>13</v>
      </c>
      <c r="D123" s="24" t="s">
        <v>13</v>
      </c>
      <c r="E123" s="24" t="s">
        <v>13</v>
      </c>
    </row>
    <row r="124" spans="1:5" ht="15.6" thickTop="1" thickBot="1" x14ac:dyDescent="0.35">
      <c r="A124" s="13">
        <v>8055900</v>
      </c>
      <c r="B124" s="6" t="s">
        <v>134</v>
      </c>
      <c r="C124" t="s">
        <v>13</v>
      </c>
      <c r="D124" s="24" t="s">
        <v>13</v>
      </c>
      <c r="E124" s="24" t="s">
        <v>13</v>
      </c>
    </row>
    <row r="125" spans="1:5" ht="15.6" thickTop="1" thickBot="1" x14ac:dyDescent="0.35">
      <c r="A125" s="13">
        <v>8015400</v>
      </c>
      <c r="B125" s="6" t="s">
        <v>47</v>
      </c>
      <c r="C125" t="s">
        <v>13</v>
      </c>
      <c r="D125" s="24" t="s">
        <v>13</v>
      </c>
      <c r="E125" s="24" t="s">
        <v>13</v>
      </c>
    </row>
    <row r="126" spans="1:5" ht="15.6" thickTop="1" thickBot="1" x14ac:dyDescent="0.35">
      <c r="A126" s="13">
        <v>8047700</v>
      </c>
      <c r="B126" s="6" t="s">
        <v>114</v>
      </c>
      <c r="C126" t="s">
        <v>13</v>
      </c>
      <c r="D126" s="24" t="s">
        <v>13</v>
      </c>
      <c r="E126" s="24" t="s">
        <v>13</v>
      </c>
    </row>
    <row r="127" spans="1:5" ht="15.6" thickTop="1" thickBot="1" x14ac:dyDescent="0.35">
      <c r="A127" s="13">
        <v>8009700</v>
      </c>
      <c r="B127" s="6" t="s">
        <v>42</v>
      </c>
      <c r="C127" t="s">
        <v>13</v>
      </c>
      <c r="D127" s="24" t="s">
        <v>13</v>
      </c>
      <c r="E127" s="24" t="s">
        <v>13</v>
      </c>
    </row>
    <row r="128" spans="1:5" ht="15.6" thickTop="1" thickBot="1" x14ac:dyDescent="0.35">
      <c r="A128" s="13">
        <v>8004400</v>
      </c>
      <c r="B128" s="6" t="s">
        <v>32</v>
      </c>
      <c r="C128" t="s">
        <v>13</v>
      </c>
      <c r="D128" s="24" t="s">
        <v>13</v>
      </c>
      <c r="E128" s="24" t="s">
        <v>13</v>
      </c>
    </row>
    <row r="129" spans="1:5" ht="15.6" thickTop="1" thickBot="1" x14ac:dyDescent="0.35">
      <c r="A129" s="13">
        <v>8055000</v>
      </c>
      <c r="B129" s="6" t="s">
        <v>130</v>
      </c>
      <c r="C129" t="s">
        <v>13</v>
      </c>
      <c r="D129" s="24" t="s">
        <v>13</v>
      </c>
      <c r="E129" s="24" t="s">
        <v>13</v>
      </c>
    </row>
    <row r="130" spans="1:5" ht="15.6" thickTop="1" thickBot="1" x14ac:dyDescent="0.35">
      <c r="A130" s="13">
        <v>8043600</v>
      </c>
      <c r="B130" s="6" t="s">
        <v>109</v>
      </c>
      <c r="C130" t="s">
        <v>13</v>
      </c>
      <c r="D130" s="24" t="s">
        <v>13</v>
      </c>
      <c r="E130" s="24" t="s">
        <v>13</v>
      </c>
    </row>
    <row r="131" spans="1:5" ht="15.6" thickTop="1" thickBot="1" x14ac:dyDescent="0.35">
      <c r="A131" s="13">
        <v>8003000</v>
      </c>
      <c r="B131" s="6" t="s">
        <v>182</v>
      </c>
      <c r="C131" t="s">
        <v>13</v>
      </c>
      <c r="D131" s="24" t="s">
        <v>13</v>
      </c>
      <c r="E131" s="24" t="s">
        <v>13</v>
      </c>
    </row>
    <row r="132" spans="1:5" ht="15.6" thickTop="1" thickBot="1" x14ac:dyDescent="0.35">
      <c r="A132" s="13">
        <v>8017000</v>
      </c>
      <c r="B132" s="6" t="s">
        <v>50</v>
      </c>
      <c r="C132" t="s">
        <v>13</v>
      </c>
      <c r="D132" s="24" t="s">
        <v>13</v>
      </c>
      <c r="E132" s="24" t="s">
        <v>13</v>
      </c>
    </row>
    <row r="133" spans="1:5" ht="15.6" thickTop="1" thickBot="1" x14ac:dyDescent="0.35">
      <c r="A133" s="13">
        <v>8019100</v>
      </c>
      <c r="B133" s="6" t="s">
        <v>55</v>
      </c>
      <c r="C133" t="s">
        <v>13</v>
      </c>
      <c r="D133" s="24" t="s">
        <v>13</v>
      </c>
      <c r="E133" s="24" t="s">
        <v>13</v>
      </c>
    </row>
    <row r="134" spans="1:5" ht="15.6" thickTop="1" thickBot="1" x14ac:dyDescent="0.35">
      <c r="A134" s="13">
        <v>8009900</v>
      </c>
      <c r="B134" s="6" t="s">
        <v>187</v>
      </c>
      <c r="C134" t="s">
        <v>13</v>
      </c>
      <c r="D134" s="24" t="s">
        <v>13</v>
      </c>
      <c r="E134" s="24" t="s">
        <v>13</v>
      </c>
    </row>
    <row r="135" spans="1:5" ht="15.6" thickTop="1" thickBot="1" x14ac:dyDescent="0.35">
      <c r="A135" s="13">
        <v>8007200</v>
      </c>
      <c r="B135" s="6" t="s">
        <v>37</v>
      </c>
      <c r="C135" t="s">
        <v>13</v>
      </c>
      <c r="D135" s="24" t="s">
        <v>13</v>
      </c>
      <c r="E135" s="24" t="s">
        <v>13</v>
      </c>
    </row>
    <row r="136" spans="1:5" ht="15.6" thickTop="1" thickBot="1" x14ac:dyDescent="0.35">
      <c r="A136" s="13">
        <v>8049500</v>
      </c>
      <c r="B136" s="6" t="s">
        <v>225</v>
      </c>
      <c r="C136" t="s">
        <v>13</v>
      </c>
      <c r="D136" s="24" t="s">
        <v>13</v>
      </c>
      <c r="E136" s="24" t="s">
        <v>13</v>
      </c>
    </row>
    <row r="137" spans="1:5" ht="15.6" thickTop="1" thickBot="1" x14ac:dyDescent="0.35">
      <c r="A137" s="13">
        <v>8048800</v>
      </c>
      <c r="B137" s="6" t="s">
        <v>222</v>
      </c>
      <c r="C137" t="s">
        <v>13</v>
      </c>
      <c r="D137" s="24" t="s">
        <v>13</v>
      </c>
      <c r="E137" s="24" t="s">
        <v>13</v>
      </c>
    </row>
    <row r="138" spans="1:5" ht="15.6" thickTop="1" thickBot="1" x14ac:dyDescent="0.35">
      <c r="A138" s="13">
        <v>8048100</v>
      </c>
      <c r="B138" s="6" t="s">
        <v>218</v>
      </c>
      <c r="C138" t="s">
        <v>13</v>
      </c>
      <c r="D138" s="24" t="s">
        <v>13</v>
      </c>
      <c r="E138" s="24" t="s">
        <v>13</v>
      </c>
    </row>
    <row r="139" spans="1:5" ht="15.6" thickTop="1" thickBot="1" x14ac:dyDescent="0.35">
      <c r="A139" s="13">
        <v>8049700</v>
      </c>
      <c r="B139" s="6" t="s">
        <v>226</v>
      </c>
      <c r="C139" t="s">
        <v>13</v>
      </c>
      <c r="D139" s="24" t="s">
        <v>13</v>
      </c>
      <c r="E139" s="24" t="s">
        <v>13</v>
      </c>
    </row>
    <row r="140" spans="1:5" ht="15.6" thickTop="1" thickBot="1" x14ac:dyDescent="0.35">
      <c r="A140" s="13">
        <v>8049400</v>
      </c>
      <c r="B140" s="6" t="s">
        <v>224</v>
      </c>
      <c r="C140" t="s">
        <v>13</v>
      </c>
      <c r="D140" s="24" t="s">
        <v>13</v>
      </c>
      <c r="E140" s="24" t="s">
        <v>13</v>
      </c>
    </row>
    <row r="141" spans="1:5" ht="15.6" thickTop="1" thickBot="1" x14ac:dyDescent="0.35">
      <c r="A141" s="13">
        <v>8038100</v>
      </c>
      <c r="B141" s="6" t="s">
        <v>212</v>
      </c>
      <c r="C141" t="s">
        <v>13</v>
      </c>
      <c r="D141" s="24" t="s">
        <v>13</v>
      </c>
      <c r="E141" s="24" t="s">
        <v>13</v>
      </c>
    </row>
    <row r="142" spans="1:5" ht="15.6" thickTop="1" thickBot="1" x14ac:dyDescent="0.35">
      <c r="A142" s="13">
        <v>8050900</v>
      </c>
      <c r="B142" s="6" t="s">
        <v>228</v>
      </c>
      <c r="C142" t="s">
        <v>13</v>
      </c>
      <c r="D142" s="24" t="s">
        <v>13</v>
      </c>
      <c r="E142" s="24" t="s">
        <v>13</v>
      </c>
    </row>
    <row r="143" spans="1:5" ht="15.6" thickTop="1" thickBot="1" x14ac:dyDescent="0.35">
      <c r="A143" s="13">
        <v>8057700</v>
      </c>
      <c r="B143" s="6" t="s">
        <v>240</v>
      </c>
      <c r="C143" t="s">
        <v>13</v>
      </c>
      <c r="D143" s="24" t="s">
        <v>13</v>
      </c>
      <c r="E143" s="24" t="s">
        <v>13</v>
      </c>
    </row>
    <row r="144" spans="1:5" ht="15.6" thickTop="1" thickBot="1" x14ac:dyDescent="0.35">
      <c r="A144" s="13">
        <v>8004800</v>
      </c>
      <c r="B144" s="6" t="s">
        <v>33</v>
      </c>
      <c r="C144" t="s">
        <v>13</v>
      </c>
      <c r="D144" s="24" t="s">
        <v>13</v>
      </c>
      <c r="E144" s="24" t="s">
        <v>13</v>
      </c>
    </row>
    <row r="145" spans="1:22" ht="15.6" thickTop="1" thickBot="1" x14ac:dyDescent="0.35">
      <c r="A145" s="13">
        <v>8020600</v>
      </c>
      <c r="B145" s="6" t="s">
        <v>57</v>
      </c>
      <c r="C145" t="s">
        <v>13</v>
      </c>
      <c r="D145" s="24" t="s">
        <v>13</v>
      </c>
      <c r="E145" s="24" t="s">
        <v>13</v>
      </c>
    </row>
    <row r="146" spans="1:22" ht="15.6" thickTop="1" thickBot="1" x14ac:dyDescent="0.35">
      <c r="A146" s="13">
        <v>8042500</v>
      </c>
      <c r="B146" s="6" t="s">
        <v>107</v>
      </c>
      <c r="C146" t="s">
        <v>13</v>
      </c>
      <c r="D146" s="24" t="s">
        <v>13</v>
      </c>
      <c r="E146" s="24" t="s">
        <v>13</v>
      </c>
    </row>
    <row r="147" spans="1:22" ht="15.6" thickTop="1" thickBot="1" x14ac:dyDescent="0.35">
      <c r="A147" s="13">
        <v>8028800</v>
      </c>
      <c r="B147" s="6" t="s">
        <v>82</v>
      </c>
      <c r="C147" t="s">
        <v>13</v>
      </c>
      <c r="D147" s="24" t="s">
        <v>13</v>
      </c>
      <c r="E147" s="24" t="s">
        <v>13</v>
      </c>
    </row>
    <row r="148" spans="1:22" ht="15.6" thickTop="1" thickBot="1" x14ac:dyDescent="0.35">
      <c r="A148" s="13">
        <v>8023800</v>
      </c>
      <c r="B148" s="6" t="s">
        <v>64</v>
      </c>
      <c r="C148" t="s">
        <v>13</v>
      </c>
      <c r="D148" s="24" t="s">
        <v>13</v>
      </c>
      <c r="E148" s="24" t="s">
        <v>13</v>
      </c>
    </row>
    <row r="149" spans="1:22" ht="15.6" thickTop="1" thickBot="1" x14ac:dyDescent="0.35">
      <c r="A149" s="13">
        <v>8052800</v>
      </c>
      <c r="B149" s="6" t="s">
        <v>235</v>
      </c>
      <c r="C149" t="s">
        <v>13</v>
      </c>
      <c r="D149" s="24" t="s">
        <v>13</v>
      </c>
      <c r="E149" s="24" t="s">
        <v>13</v>
      </c>
    </row>
    <row r="150" spans="1:22" ht="15.6" thickTop="1" thickBot="1" x14ac:dyDescent="0.35">
      <c r="A150" s="13">
        <v>8001200</v>
      </c>
      <c r="B150" s="6" t="s">
        <v>3</v>
      </c>
      <c r="C150" t="s">
        <v>13</v>
      </c>
      <c r="D150" s="24" t="s">
        <v>13</v>
      </c>
      <c r="E150" s="24" t="s">
        <v>13</v>
      </c>
    </row>
    <row r="151" spans="1:22" ht="15.6" thickTop="1" thickBot="1" x14ac:dyDescent="0.35">
      <c r="A151" s="13">
        <v>8005400</v>
      </c>
      <c r="B151" s="6" t="s">
        <v>20</v>
      </c>
      <c r="C151" t="s">
        <v>498</v>
      </c>
      <c r="D151" s="23">
        <v>45385</v>
      </c>
      <c r="E151" t="s">
        <v>177</v>
      </c>
      <c r="F151" s="11">
        <v>-0.20569620253164558</v>
      </c>
      <c r="G151" s="11">
        <v>-0.40837696335078533</v>
      </c>
      <c r="H151" s="11">
        <v>-4.133545310015898E-2</v>
      </c>
      <c r="I151" s="11">
        <v>0</v>
      </c>
      <c r="J151" s="11">
        <v>0</v>
      </c>
      <c r="K151" s="11">
        <v>-0.4</v>
      </c>
      <c r="L151" s="11">
        <v>-0.4157706093189964</v>
      </c>
      <c r="M151" s="11">
        <v>0</v>
      </c>
      <c r="N151" s="11">
        <v>0</v>
      </c>
      <c r="O151" s="11">
        <v>-4.2553191489361701E-2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</row>
    <row r="152" spans="1:22" ht="15.6" thickTop="1" thickBot="1" x14ac:dyDescent="0.35">
      <c r="A152" s="13">
        <v>8045200</v>
      </c>
      <c r="B152" s="6" t="s">
        <v>111</v>
      </c>
      <c r="C152" t="s">
        <v>13</v>
      </c>
      <c r="D152" s="24" t="s">
        <v>13</v>
      </c>
      <c r="E152" s="24" t="s">
        <v>13</v>
      </c>
    </row>
    <row r="153" spans="1:22" ht="15.6" thickTop="1" thickBot="1" x14ac:dyDescent="0.35">
      <c r="A153" s="13">
        <v>8001100</v>
      </c>
      <c r="B153" s="6" t="s">
        <v>21</v>
      </c>
      <c r="C153" t="s">
        <v>13</v>
      </c>
      <c r="D153" s="24" t="s">
        <v>13</v>
      </c>
      <c r="E153" s="24" t="s">
        <v>13</v>
      </c>
    </row>
    <row r="154" spans="1:22" ht="15.6" thickTop="1" thickBot="1" x14ac:dyDescent="0.35">
      <c r="A154" s="13">
        <v>8001000</v>
      </c>
      <c r="B154" s="6" t="s">
        <v>22</v>
      </c>
      <c r="C154" t="s">
        <v>13</v>
      </c>
      <c r="D154" s="24" t="s">
        <v>13</v>
      </c>
      <c r="E154" s="24" t="s">
        <v>13</v>
      </c>
      <c r="H154"/>
      <c r="I154"/>
      <c r="J154"/>
      <c r="N154"/>
      <c r="O154"/>
      <c r="P154"/>
      <c r="Q154"/>
      <c r="R154"/>
      <c r="S154"/>
      <c r="T154"/>
      <c r="U154"/>
      <c r="V154"/>
    </row>
    <row r="155" spans="1:22" ht="15.6" thickTop="1" thickBot="1" x14ac:dyDescent="0.35">
      <c r="A155" s="13">
        <v>8019700</v>
      </c>
      <c r="B155" s="6" t="s">
        <v>56</v>
      </c>
      <c r="C155" t="s">
        <v>13</v>
      </c>
      <c r="D155" s="24" t="s">
        <v>13</v>
      </c>
      <c r="E155" s="24" t="s">
        <v>13</v>
      </c>
    </row>
    <row r="156" spans="1:22" ht="15.6" thickTop="1" thickBot="1" x14ac:dyDescent="0.35">
      <c r="A156" s="13">
        <v>8003600</v>
      </c>
      <c r="B156" s="6" t="s">
        <v>183</v>
      </c>
      <c r="C156" t="s">
        <v>13</v>
      </c>
      <c r="D156" s="24" t="s">
        <v>13</v>
      </c>
      <c r="E156" s="24" t="s">
        <v>13</v>
      </c>
    </row>
    <row r="157" spans="1:22" ht="15.6" thickTop="1" thickBot="1" x14ac:dyDescent="0.35">
      <c r="A157" s="13">
        <v>8018900</v>
      </c>
      <c r="B157" s="6" t="s">
        <v>54</v>
      </c>
      <c r="C157" t="s">
        <v>13</v>
      </c>
      <c r="D157" s="24" t="s">
        <v>13</v>
      </c>
      <c r="E157" s="24" t="s">
        <v>13</v>
      </c>
    </row>
    <row r="158" spans="1:22" ht="15.6" thickTop="1" thickBot="1" x14ac:dyDescent="0.35">
      <c r="A158" s="13">
        <v>8013000</v>
      </c>
      <c r="B158" s="6" t="s">
        <v>45</v>
      </c>
      <c r="C158" t="s">
        <v>13</v>
      </c>
      <c r="D158" s="24" t="s">
        <v>13</v>
      </c>
      <c r="E158" s="24" t="s">
        <v>13</v>
      </c>
    </row>
    <row r="159" spans="1:22" ht="15.6" thickTop="1" thickBot="1" x14ac:dyDescent="0.35">
      <c r="A159" s="13">
        <v>8021900</v>
      </c>
      <c r="B159" s="6" t="s">
        <v>59</v>
      </c>
      <c r="C159" t="s">
        <v>13</v>
      </c>
      <c r="D159" s="24" t="s">
        <v>13</v>
      </c>
      <c r="E159" s="24" t="s">
        <v>13</v>
      </c>
    </row>
    <row r="160" spans="1:22" ht="15.6" thickTop="1" thickBot="1" x14ac:dyDescent="0.35">
      <c r="A160" s="13">
        <v>8007400</v>
      </c>
      <c r="B160" s="6" t="s">
        <v>38</v>
      </c>
      <c r="C160" t="s">
        <v>13</v>
      </c>
      <c r="D160" s="24" t="s">
        <v>13</v>
      </c>
      <c r="E160" s="24" t="s">
        <v>13</v>
      </c>
    </row>
    <row r="161" spans="1:5" ht="15.6" thickTop="1" thickBot="1" x14ac:dyDescent="0.35">
      <c r="A161" s="13">
        <v>8003900</v>
      </c>
      <c r="B161" s="6" t="s">
        <v>30</v>
      </c>
      <c r="C161" t="s">
        <v>13</v>
      </c>
      <c r="D161" s="24" t="s">
        <v>13</v>
      </c>
      <c r="E161" s="24" t="s">
        <v>13</v>
      </c>
    </row>
    <row r="162" spans="1:5" ht="15.6" thickTop="1" thickBot="1" x14ac:dyDescent="0.35">
      <c r="A162" s="13">
        <v>8004000</v>
      </c>
      <c r="B162" s="6" t="s">
        <v>31</v>
      </c>
      <c r="C162" t="s">
        <v>13</v>
      </c>
      <c r="D162" s="24" t="s">
        <v>13</v>
      </c>
      <c r="E162" s="24" t="s">
        <v>13</v>
      </c>
    </row>
    <row r="163" spans="1:5" ht="15.6" thickTop="1" thickBot="1" x14ac:dyDescent="0.35">
      <c r="A163" s="13">
        <v>8028500</v>
      </c>
      <c r="B163" s="6" t="s">
        <v>81</v>
      </c>
      <c r="C163" t="s">
        <v>13</v>
      </c>
      <c r="D163" s="24" t="s">
        <v>13</v>
      </c>
      <c r="E163" s="24" t="s">
        <v>13</v>
      </c>
    </row>
    <row r="164" spans="1:5" ht="15.6" thickTop="1" thickBot="1" x14ac:dyDescent="0.35">
      <c r="A164" s="13">
        <v>8023600</v>
      </c>
      <c r="B164" s="6" t="s">
        <v>193</v>
      </c>
      <c r="C164" t="s">
        <v>13</v>
      </c>
      <c r="D164" s="24" t="s">
        <v>13</v>
      </c>
      <c r="E164" s="24" t="s">
        <v>13</v>
      </c>
    </row>
    <row r="165" spans="1:5" ht="15.6" thickTop="1" thickBot="1" x14ac:dyDescent="0.35">
      <c r="A165" s="13">
        <v>8003100</v>
      </c>
      <c r="B165" s="6" t="s">
        <v>29</v>
      </c>
      <c r="C165" t="s">
        <v>13</v>
      </c>
      <c r="D165" s="24" t="s">
        <v>13</v>
      </c>
      <c r="E165" s="24" t="s">
        <v>13</v>
      </c>
    </row>
    <row r="166" spans="1:5" ht="15.6" thickTop="1" thickBot="1" x14ac:dyDescent="0.35">
      <c r="A166" s="13">
        <v>8007600</v>
      </c>
      <c r="B166" s="6" t="s">
        <v>39</v>
      </c>
      <c r="C166" t="s">
        <v>13</v>
      </c>
      <c r="D166" s="24" t="s">
        <v>13</v>
      </c>
      <c r="E166" s="24" t="s">
        <v>13</v>
      </c>
    </row>
    <row r="167" spans="1:5" ht="15.6" thickTop="1" thickBot="1" x14ac:dyDescent="0.35">
      <c r="A167" s="13">
        <v>8048900</v>
      </c>
      <c r="B167" s="6" t="s">
        <v>115</v>
      </c>
      <c r="C167" t="s">
        <v>13</v>
      </c>
      <c r="D167" s="24" t="s">
        <v>13</v>
      </c>
      <c r="E167" s="24" t="s">
        <v>13</v>
      </c>
    </row>
    <row r="168" spans="1:5" ht="15.6" thickTop="1" thickBot="1" x14ac:dyDescent="0.35">
      <c r="A168" s="13">
        <v>8002900</v>
      </c>
      <c r="B168" s="6" t="s">
        <v>181</v>
      </c>
      <c r="C168" t="s">
        <v>13</v>
      </c>
      <c r="D168" s="24" t="s">
        <v>13</v>
      </c>
      <c r="E168" s="24" t="s">
        <v>13</v>
      </c>
    </row>
    <row r="169" spans="1:5" ht="15.6" thickTop="1" thickBot="1" x14ac:dyDescent="0.35">
      <c r="A169" s="13">
        <v>8015700</v>
      </c>
      <c r="B169" s="6" t="s">
        <v>48</v>
      </c>
      <c r="C169" t="s">
        <v>13</v>
      </c>
      <c r="D169" s="24" t="s">
        <v>13</v>
      </c>
      <c r="E169" s="24" t="s">
        <v>13</v>
      </c>
    </row>
    <row r="170" spans="1:5" ht="15.6" thickTop="1" thickBot="1" x14ac:dyDescent="0.35">
      <c r="A170" s="13">
        <v>8035300</v>
      </c>
      <c r="B170" s="6" t="s">
        <v>95</v>
      </c>
      <c r="C170" t="s">
        <v>13</v>
      </c>
      <c r="D170" s="24" t="s">
        <v>13</v>
      </c>
      <c r="E170" s="24" t="s">
        <v>13</v>
      </c>
    </row>
    <row r="171" spans="1:5" ht="15.6" thickTop="1" thickBot="1" x14ac:dyDescent="0.35">
      <c r="A171" s="13">
        <v>8028000</v>
      </c>
      <c r="B171" s="6" t="s">
        <v>196</v>
      </c>
      <c r="C171" t="s">
        <v>13</v>
      </c>
      <c r="D171" s="24" t="s">
        <v>13</v>
      </c>
      <c r="E171" s="24" t="s">
        <v>13</v>
      </c>
    </row>
    <row r="172" spans="1:5" ht="15.6" thickTop="1" thickBot="1" x14ac:dyDescent="0.35">
      <c r="A172" s="13">
        <v>8055950</v>
      </c>
      <c r="B172" s="6" t="s">
        <v>521</v>
      </c>
      <c r="C172" t="s">
        <v>13</v>
      </c>
      <c r="D172" s="24" t="s">
        <v>13</v>
      </c>
      <c r="E172" s="24" t="s">
        <v>13</v>
      </c>
    </row>
    <row r="173" spans="1:5" ht="15.6" thickTop="1" thickBot="1" x14ac:dyDescent="0.35">
      <c r="A173" s="13">
        <v>8057400</v>
      </c>
      <c r="B173" s="6" t="s">
        <v>143</v>
      </c>
      <c r="C173" t="s">
        <v>13</v>
      </c>
      <c r="D173" s="24" t="s">
        <v>13</v>
      </c>
      <c r="E173" s="24" t="s">
        <v>13</v>
      </c>
    </row>
    <row r="174" spans="1:5" ht="15.6" thickTop="1" thickBot="1" x14ac:dyDescent="0.35">
      <c r="A174" s="13">
        <v>8057800</v>
      </c>
      <c r="B174" s="6" t="s">
        <v>241</v>
      </c>
      <c r="C174" t="s">
        <v>13</v>
      </c>
      <c r="D174" s="24" t="s">
        <v>13</v>
      </c>
      <c r="E174" s="24" t="s">
        <v>13</v>
      </c>
    </row>
    <row r="175" spans="1:5" ht="15.6" thickTop="1" thickBot="1" x14ac:dyDescent="0.35">
      <c r="A175" s="13">
        <v>8057350</v>
      </c>
      <c r="B175" s="6" t="s">
        <v>142</v>
      </c>
      <c r="C175" t="s">
        <v>13</v>
      </c>
      <c r="D175" s="24" t="s">
        <v>13</v>
      </c>
      <c r="E175" s="24" t="s">
        <v>13</v>
      </c>
    </row>
    <row r="176" spans="1:5" ht="15.6" thickTop="1" thickBot="1" x14ac:dyDescent="0.35">
      <c r="A176" s="13">
        <v>8057450</v>
      </c>
      <c r="B176" s="6" t="s">
        <v>144</v>
      </c>
      <c r="C176" t="s">
        <v>13</v>
      </c>
      <c r="D176" s="24" t="s">
        <v>13</v>
      </c>
      <c r="E176" s="24" t="s">
        <v>13</v>
      </c>
    </row>
    <row r="177" spans="1:22" ht="15.6" thickTop="1" thickBot="1" x14ac:dyDescent="0.35">
      <c r="A177" s="13">
        <v>8057650</v>
      </c>
      <c r="B177" s="6" t="s">
        <v>148</v>
      </c>
      <c r="C177" t="s">
        <v>13</v>
      </c>
      <c r="D177" s="24" t="s">
        <v>13</v>
      </c>
      <c r="E177" s="24" t="s">
        <v>13</v>
      </c>
    </row>
    <row r="178" spans="1:22" ht="15.6" thickTop="1" thickBot="1" x14ac:dyDescent="0.35">
      <c r="A178" s="13">
        <v>8057500</v>
      </c>
      <c r="B178" s="6" t="s">
        <v>145</v>
      </c>
      <c r="C178" t="s">
        <v>13</v>
      </c>
      <c r="D178" s="24" t="s">
        <v>13</v>
      </c>
      <c r="E178" s="24" t="s">
        <v>13</v>
      </c>
    </row>
    <row r="179" spans="1:22" ht="15.6" thickTop="1" thickBot="1" x14ac:dyDescent="0.35">
      <c r="A179" s="13">
        <v>8057550</v>
      </c>
      <c r="B179" s="6" t="s">
        <v>146</v>
      </c>
      <c r="C179" t="s">
        <v>13</v>
      </c>
      <c r="D179" s="24" t="s">
        <v>13</v>
      </c>
      <c r="E179" s="24" t="s">
        <v>13</v>
      </c>
    </row>
    <row r="180" spans="1:22" ht="15.6" thickTop="1" thickBot="1" x14ac:dyDescent="0.35">
      <c r="A180" s="13">
        <v>8057600</v>
      </c>
      <c r="B180" s="6" t="s">
        <v>147</v>
      </c>
      <c r="C180" t="s">
        <v>13</v>
      </c>
      <c r="D180" s="24" t="s">
        <v>13</v>
      </c>
      <c r="E180" s="24" t="s">
        <v>13</v>
      </c>
    </row>
    <row r="181" spans="1:22" ht="15.6" thickTop="1" thickBot="1" x14ac:dyDescent="0.35">
      <c r="A181" s="13">
        <v>8061200</v>
      </c>
      <c r="B181" s="6" t="s">
        <v>251</v>
      </c>
      <c r="C181" t="s">
        <v>13</v>
      </c>
      <c r="D181" s="24" t="s">
        <v>13</v>
      </c>
      <c r="E181" s="24" t="s">
        <v>13</v>
      </c>
    </row>
    <row r="182" spans="1:22" ht="15.6" thickTop="1" thickBot="1" x14ac:dyDescent="0.35">
      <c r="A182" s="13">
        <v>8039200</v>
      </c>
      <c r="B182" s="6" t="s">
        <v>101</v>
      </c>
      <c r="C182" t="s">
        <v>13</v>
      </c>
      <c r="D182" s="24" t="s">
        <v>13</v>
      </c>
      <c r="E182" s="24" t="s">
        <v>13</v>
      </c>
    </row>
    <row r="183" spans="1:22" ht="15.6" thickTop="1" thickBot="1" x14ac:dyDescent="0.35">
      <c r="A183" s="13">
        <v>8031500</v>
      </c>
      <c r="B183" s="6" t="s">
        <v>85</v>
      </c>
      <c r="C183" t="s">
        <v>13</v>
      </c>
      <c r="D183" s="24" t="s">
        <v>13</v>
      </c>
      <c r="E183" s="24" t="s">
        <v>13</v>
      </c>
    </row>
    <row r="184" spans="1:22" ht="15.6" thickTop="1" thickBot="1" x14ac:dyDescent="0.35">
      <c r="A184" s="13">
        <v>8053500</v>
      </c>
      <c r="B184" s="6" t="s">
        <v>121</v>
      </c>
      <c r="C184" t="s">
        <v>13</v>
      </c>
      <c r="D184" s="24" t="s">
        <v>13</v>
      </c>
      <c r="E184" s="24" t="s">
        <v>13</v>
      </c>
    </row>
    <row r="185" spans="1:22" ht="15.6" thickTop="1" thickBot="1" x14ac:dyDescent="0.35">
      <c r="A185" s="13">
        <v>9010590</v>
      </c>
      <c r="B185" s="6" t="s">
        <v>253</v>
      </c>
      <c r="C185" t="s">
        <v>13</v>
      </c>
      <c r="D185" s="24" t="s">
        <v>13</v>
      </c>
      <c r="E185" s="24" t="s">
        <v>13</v>
      </c>
    </row>
    <row r="186" spans="1:22" ht="15.6" thickTop="1" thickBot="1" x14ac:dyDescent="0.35">
      <c r="A186" s="13">
        <v>9010580</v>
      </c>
      <c r="B186" s="6" t="s">
        <v>252</v>
      </c>
      <c r="C186" t="s">
        <v>13</v>
      </c>
      <c r="D186" s="24" t="s">
        <v>13</v>
      </c>
      <c r="E186" s="24" t="s">
        <v>13</v>
      </c>
    </row>
    <row r="187" spans="1:22" ht="15.6" thickTop="1" thickBot="1" x14ac:dyDescent="0.35">
      <c r="A187" s="13">
        <v>8056150</v>
      </c>
      <c r="B187" s="6" t="s">
        <v>8</v>
      </c>
      <c r="C187" t="s">
        <v>498</v>
      </c>
      <c r="D187" s="23">
        <v>45385</v>
      </c>
      <c r="E187" t="s">
        <v>174</v>
      </c>
      <c r="F187" s="11">
        <v>-1.9683354728284124E-2</v>
      </c>
      <c r="G187" s="11">
        <v>-6.4239828693790149E-2</v>
      </c>
      <c r="H187" s="11">
        <v>0.34782608695652173</v>
      </c>
      <c r="I187" s="11">
        <v>-2.7027027027027029E-2</v>
      </c>
      <c r="J187" s="11">
        <v>-5.076142131979695E-3</v>
      </c>
      <c r="K187" s="11">
        <v>-8.3769633507853408E-2</v>
      </c>
      <c r="L187" s="11">
        <v>0.22222222222222221</v>
      </c>
      <c r="M187" s="11">
        <v>-2.9850746268656716E-2</v>
      </c>
      <c r="N187" s="11">
        <v>0.58823529411764708</v>
      </c>
      <c r="O187" s="11">
        <v>0.2608695652173913</v>
      </c>
      <c r="P187" s="11">
        <v>0</v>
      </c>
      <c r="Q187" s="11">
        <v>-1.7094017094017096E-2</v>
      </c>
      <c r="R187" s="11">
        <v>-3.5874439461883408E-2</v>
      </c>
      <c r="S187" s="11">
        <v>0.22222222222222221</v>
      </c>
      <c r="T187" s="11">
        <v>0.90909090909090906</v>
      </c>
      <c r="U187" s="11">
        <v>-3.870967741935484E-2</v>
      </c>
      <c r="V187" s="11">
        <v>1.282051282051282E-2</v>
      </c>
    </row>
    <row r="188" spans="1:22" ht="15.6" thickTop="1" thickBot="1" x14ac:dyDescent="0.35">
      <c r="A188" s="13">
        <v>8042800</v>
      </c>
      <c r="B188" s="6" t="s">
        <v>108</v>
      </c>
      <c r="C188" t="s">
        <v>13</v>
      </c>
      <c r="D188" s="24" t="s">
        <v>13</v>
      </c>
      <c r="E188" s="24" t="s">
        <v>13</v>
      </c>
    </row>
    <row r="189" spans="1:22" ht="15.6" thickTop="1" thickBot="1" x14ac:dyDescent="0.35">
      <c r="A189" s="13">
        <v>8051600</v>
      </c>
      <c r="B189" s="6" t="s">
        <v>118</v>
      </c>
      <c r="C189" t="s">
        <v>13</v>
      </c>
      <c r="D189" s="24" t="s">
        <v>13</v>
      </c>
      <c r="E189" s="24" t="s">
        <v>13</v>
      </c>
    </row>
    <row r="190" spans="1:22" ht="15.6" thickTop="1" thickBot="1" x14ac:dyDescent="0.35">
      <c r="A190" s="13">
        <v>8052400</v>
      </c>
      <c r="B190" s="6" t="s">
        <v>119</v>
      </c>
      <c r="C190" t="s">
        <v>13</v>
      </c>
      <c r="D190" s="24" t="s">
        <v>13</v>
      </c>
      <c r="E190" s="24" t="s">
        <v>13</v>
      </c>
    </row>
    <row r="191" spans="1:22" ht="15.6" thickTop="1" thickBot="1" x14ac:dyDescent="0.35">
      <c r="A191" s="13">
        <v>8022300</v>
      </c>
      <c r="B191" s="6" t="s">
        <v>61</v>
      </c>
      <c r="C191" t="s">
        <v>13</v>
      </c>
      <c r="D191" s="24" t="s">
        <v>13</v>
      </c>
      <c r="E191" s="24" t="s">
        <v>13</v>
      </c>
    </row>
    <row r="192" spans="1:22" ht="15.6" thickTop="1" thickBot="1" x14ac:dyDescent="0.35">
      <c r="A192" s="13">
        <v>8039600</v>
      </c>
      <c r="B192" s="6" t="s">
        <v>102</v>
      </c>
      <c r="C192" t="s">
        <v>13</v>
      </c>
      <c r="D192" s="24" t="s">
        <v>13</v>
      </c>
      <c r="E192" s="24" t="s">
        <v>13</v>
      </c>
    </row>
    <row r="193" spans="1:22" ht="15.6" thickTop="1" thickBot="1" x14ac:dyDescent="0.35">
      <c r="A193" s="13">
        <v>8027300</v>
      </c>
      <c r="B193" s="6" t="s">
        <v>78</v>
      </c>
      <c r="C193" t="s">
        <v>13</v>
      </c>
      <c r="D193" s="24" t="s">
        <v>13</v>
      </c>
      <c r="E193" s="24" t="s">
        <v>13</v>
      </c>
    </row>
    <row r="194" spans="1:22" ht="15.6" thickTop="1" thickBot="1" x14ac:dyDescent="0.35">
      <c r="A194" s="13">
        <v>8024300</v>
      </c>
      <c r="B194" s="6" t="s">
        <v>66</v>
      </c>
      <c r="C194" t="s">
        <v>13</v>
      </c>
      <c r="D194" s="24" t="s">
        <v>13</v>
      </c>
      <c r="E194" s="24" t="s">
        <v>13</v>
      </c>
    </row>
    <row r="195" spans="1:22" ht="15.6" thickTop="1" thickBot="1" x14ac:dyDescent="0.35">
      <c r="A195" s="13">
        <v>8037500</v>
      </c>
      <c r="B195" s="6" t="s">
        <v>98</v>
      </c>
      <c r="C195" t="s">
        <v>13</v>
      </c>
      <c r="D195" s="24" t="s">
        <v>13</v>
      </c>
      <c r="E195" s="24" t="s">
        <v>13</v>
      </c>
    </row>
    <row r="196" spans="1:22" ht="15.6" thickTop="1" thickBot="1" x14ac:dyDescent="0.35">
      <c r="A196" s="13">
        <v>8024600</v>
      </c>
      <c r="B196" s="6" t="s">
        <v>2</v>
      </c>
      <c r="C196" t="s">
        <v>13</v>
      </c>
      <c r="D196" s="24" t="s">
        <v>13</v>
      </c>
      <c r="E196" s="24" t="s">
        <v>13</v>
      </c>
    </row>
    <row r="197" spans="1:22" ht="15.6" thickTop="1" thickBot="1" x14ac:dyDescent="0.35">
      <c r="A197" s="13">
        <v>8036500</v>
      </c>
      <c r="B197" s="6" t="s">
        <v>96</v>
      </c>
      <c r="C197" t="s">
        <v>13</v>
      </c>
      <c r="D197" s="24" t="s">
        <v>13</v>
      </c>
      <c r="E197" s="24" t="s">
        <v>13</v>
      </c>
    </row>
    <row r="198" spans="1:22" ht="15.6" thickTop="1" thickBot="1" x14ac:dyDescent="0.35">
      <c r="A198" s="13">
        <v>8027900</v>
      </c>
      <c r="B198" s="6" t="s">
        <v>0</v>
      </c>
      <c r="C198" t="s">
        <v>13</v>
      </c>
      <c r="D198" s="24" t="s">
        <v>13</v>
      </c>
      <c r="E198" s="24" t="s">
        <v>13</v>
      </c>
    </row>
    <row r="199" spans="1:22" ht="15.6" thickTop="1" thickBot="1" x14ac:dyDescent="0.35">
      <c r="A199" s="13">
        <v>8039300</v>
      </c>
      <c r="B199" s="6" t="s">
        <v>11</v>
      </c>
      <c r="C199" t="s">
        <v>498</v>
      </c>
      <c r="D199" s="23">
        <v>45390</v>
      </c>
      <c r="E199" t="s">
        <v>177</v>
      </c>
      <c r="F199" s="11">
        <v>-8.5423728813559321E-2</v>
      </c>
      <c r="G199" s="11" t="s">
        <v>13</v>
      </c>
      <c r="H199" s="11">
        <v>-5.3475935828877004E-2</v>
      </c>
      <c r="I199" s="11">
        <v>-1.9933554817275746E-2</v>
      </c>
      <c r="J199" s="11">
        <v>-0.15160349854227406</v>
      </c>
      <c r="K199" s="11" t="s">
        <v>13</v>
      </c>
      <c r="L199" s="11" t="s">
        <v>13</v>
      </c>
      <c r="M199" s="11" t="s">
        <v>13</v>
      </c>
      <c r="N199" s="11">
        <v>3.7735849056603772E-2</v>
      </c>
      <c r="O199" s="11">
        <v>0</v>
      </c>
      <c r="P199" s="11">
        <v>-8.9552238805970144E-2</v>
      </c>
      <c r="Q199" s="11" t="s">
        <v>13</v>
      </c>
      <c r="R199" s="11">
        <v>-1.8083182640144666E-2</v>
      </c>
      <c r="S199" s="11">
        <v>-4.2553191489361701E-2</v>
      </c>
      <c r="T199" s="11">
        <v>-0.04</v>
      </c>
      <c r="U199" s="11">
        <v>-0.17064846416382254</v>
      </c>
      <c r="V199" s="11" t="s">
        <v>13</v>
      </c>
    </row>
    <row r="200" spans="1:22" ht="15.6" thickTop="1" thickBot="1" x14ac:dyDescent="0.35">
      <c r="A200" s="13">
        <v>9010660</v>
      </c>
      <c r="B200" s="6" t="s">
        <v>254</v>
      </c>
      <c r="C200" t="s">
        <v>13</v>
      </c>
      <c r="D200" s="24" t="s">
        <v>13</v>
      </c>
      <c r="E200" s="24" t="s">
        <v>13</v>
      </c>
    </row>
    <row r="201" spans="1:22" ht="15.6" thickTop="1" thickBot="1" x14ac:dyDescent="0.35">
      <c r="A201" s="13">
        <v>8017300</v>
      </c>
      <c r="B201" s="6" t="s">
        <v>51</v>
      </c>
      <c r="C201" t="s">
        <v>13</v>
      </c>
      <c r="D201" s="24" t="s">
        <v>13</v>
      </c>
      <c r="E201" s="24" t="s">
        <v>13</v>
      </c>
    </row>
    <row r="202" spans="1:22" ht="15.6" thickTop="1" thickBot="1" x14ac:dyDescent="0.35">
      <c r="A202" s="13">
        <v>8029200</v>
      </c>
      <c r="B202" s="6" t="s">
        <v>84</v>
      </c>
      <c r="C202" t="s">
        <v>13</v>
      </c>
      <c r="D202" s="24" t="s">
        <v>13</v>
      </c>
      <c r="E202" s="24" t="s">
        <v>13</v>
      </c>
    </row>
    <row r="203" spans="1:22" ht="15.6" thickTop="1" thickBot="1" x14ac:dyDescent="0.35">
      <c r="A203" s="13">
        <v>8058100</v>
      </c>
      <c r="B203" s="6" t="s">
        <v>249</v>
      </c>
      <c r="C203" t="s">
        <v>13</v>
      </c>
      <c r="D203" s="24" t="s">
        <v>13</v>
      </c>
      <c r="E203" s="24" t="s">
        <v>13</v>
      </c>
    </row>
    <row r="204" spans="1:22" ht="15.6" thickTop="1" thickBot="1" x14ac:dyDescent="0.35">
      <c r="A204" s="13">
        <v>8054600</v>
      </c>
      <c r="B204" s="6" t="s">
        <v>238</v>
      </c>
      <c r="C204" t="s">
        <v>13</v>
      </c>
      <c r="D204" s="24" t="s">
        <v>13</v>
      </c>
      <c r="E204" s="24" t="s">
        <v>13</v>
      </c>
    </row>
    <row r="205" spans="1:22" ht="15.6" thickTop="1" thickBot="1" x14ac:dyDescent="0.35">
      <c r="A205" s="13">
        <v>8058015</v>
      </c>
      <c r="B205" s="6" t="s">
        <v>248</v>
      </c>
      <c r="C205" t="s">
        <v>13</v>
      </c>
      <c r="D205" s="24" t="s">
        <v>13</v>
      </c>
      <c r="E205" s="24" t="s">
        <v>13</v>
      </c>
    </row>
    <row r="206" spans="1:22" ht="15.6" thickTop="1" thickBot="1" x14ac:dyDescent="0.35">
      <c r="A206" s="13">
        <v>8058010</v>
      </c>
      <c r="B206" s="6" t="s">
        <v>247</v>
      </c>
      <c r="C206" t="s">
        <v>13</v>
      </c>
      <c r="D206" s="24" t="s">
        <v>13</v>
      </c>
      <c r="E206" s="24" t="s">
        <v>13</v>
      </c>
    </row>
    <row r="207" spans="1:22" ht="15.6" thickTop="1" thickBot="1" x14ac:dyDescent="0.35">
      <c r="A207" s="13">
        <v>8027200</v>
      </c>
      <c r="B207" s="6" t="s">
        <v>1</v>
      </c>
      <c r="C207" t="s">
        <v>498</v>
      </c>
      <c r="D207" s="23">
        <v>45385</v>
      </c>
      <c r="E207" s="2" t="s">
        <v>176</v>
      </c>
      <c r="F207" s="11">
        <v>-7.1599045346062056E-3</v>
      </c>
      <c r="G207" s="11">
        <v>3.7243947858472998E-3</v>
      </c>
      <c r="H207" s="11">
        <v>0</v>
      </c>
      <c r="I207" s="11">
        <v>-2.0618556701030927E-2</v>
      </c>
      <c r="J207" s="11">
        <v>-8.4865629420084864E-3</v>
      </c>
      <c r="K207" s="11">
        <v>2.5974025974025976E-2</v>
      </c>
      <c r="L207" s="11">
        <v>-0.13333333333333333</v>
      </c>
      <c r="M207" s="11">
        <v>-4.3795620437956206E-2</v>
      </c>
      <c r="N207" s="11">
        <v>0</v>
      </c>
      <c r="O207" s="11">
        <v>0</v>
      </c>
      <c r="P207" s="11">
        <v>0</v>
      </c>
      <c r="Q207" s="11">
        <v>9.5238095238095233E-2</v>
      </c>
      <c r="R207" s="11">
        <v>-0.16091954022988506</v>
      </c>
      <c r="S207" s="11">
        <v>0</v>
      </c>
      <c r="T207" s="11">
        <v>-1</v>
      </c>
      <c r="U207" s="11">
        <v>-9.0909090909090912E-2</v>
      </c>
      <c r="V207" s="11">
        <v>2.6565464895635674E-2</v>
      </c>
    </row>
    <row r="208" spans="1:22" ht="15.6" thickTop="1" thickBot="1" x14ac:dyDescent="0.35">
      <c r="A208" s="13">
        <v>8048400</v>
      </c>
      <c r="B208" s="6" t="s">
        <v>219</v>
      </c>
      <c r="C208" t="s">
        <v>13</v>
      </c>
      <c r="D208" s="24" t="s">
        <v>13</v>
      </c>
      <c r="E208" s="24" t="s">
        <v>13</v>
      </c>
    </row>
    <row r="209" spans="1:5" ht="15.6" thickTop="1" thickBot="1" x14ac:dyDescent="0.35">
      <c r="A209" s="13">
        <v>8000400</v>
      </c>
      <c r="B209" s="6" t="s">
        <v>28</v>
      </c>
      <c r="C209" t="s">
        <v>13</v>
      </c>
      <c r="D209" s="24" t="s">
        <v>13</v>
      </c>
      <c r="E209" s="24" t="s">
        <v>13</v>
      </c>
    </row>
    <row r="210" spans="1:5" ht="15.6" thickTop="1" thickBot="1" x14ac:dyDescent="0.35">
      <c r="A210" s="13">
        <v>8033700</v>
      </c>
      <c r="B210" s="6" t="s">
        <v>89</v>
      </c>
      <c r="C210" t="s">
        <v>13</v>
      </c>
      <c r="D210" s="24" t="s">
        <v>13</v>
      </c>
      <c r="E210" s="24" t="s">
        <v>13</v>
      </c>
    </row>
    <row r="211" spans="1:5" ht="15.6" thickTop="1" thickBot="1" x14ac:dyDescent="0.35">
      <c r="A211" s="13">
        <v>8033800</v>
      </c>
      <c r="B211" s="6" t="s">
        <v>90</v>
      </c>
      <c r="C211" t="s">
        <v>13</v>
      </c>
      <c r="D211" s="24" t="s">
        <v>13</v>
      </c>
      <c r="E211" s="24" t="s">
        <v>13</v>
      </c>
    </row>
    <row r="212" spans="1:5" ht="15.6" thickTop="1" thickBot="1" x14ac:dyDescent="0.35">
      <c r="A212" s="13">
        <v>8033900</v>
      </c>
      <c r="B212" s="6" t="s">
        <v>91</v>
      </c>
      <c r="C212" t="s">
        <v>13</v>
      </c>
      <c r="D212" s="24" t="s">
        <v>13</v>
      </c>
      <c r="E212" s="24" t="s">
        <v>13</v>
      </c>
    </row>
    <row r="213" spans="1:5" ht="15.6" thickTop="1" thickBot="1" x14ac:dyDescent="0.35">
      <c r="A213" s="13">
        <v>8034400</v>
      </c>
      <c r="B213" s="6" t="s">
        <v>6</v>
      </c>
      <c r="C213" t="s">
        <v>13</v>
      </c>
      <c r="D213" s="24" t="s">
        <v>13</v>
      </c>
      <c r="E213" s="24" t="s">
        <v>13</v>
      </c>
    </row>
    <row r="214" spans="1:5" ht="15.6" thickTop="1" thickBot="1" x14ac:dyDescent="0.35">
      <c r="A214" s="13">
        <v>8047600</v>
      </c>
      <c r="B214" s="6" t="s">
        <v>23</v>
      </c>
      <c r="C214" t="s">
        <v>13</v>
      </c>
      <c r="D214" s="24" t="s">
        <v>13</v>
      </c>
      <c r="E214" s="24" t="s">
        <v>13</v>
      </c>
    </row>
    <row r="215" spans="1:5" ht="15.6" thickTop="1" thickBot="1" x14ac:dyDescent="0.35">
      <c r="A215" s="13">
        <v>8057845</v>
      </c>
      <c r="B215" s="6" t="s">
        <v>150</v>
      </c>
      <c r="C215" t="s">
        <v>13</v>
      </c>
      <c r="D215" s="24" t="s">
        <v>13</v>
      </c>
      <c r="E215" s="24" t="s">
        <v>13</v>
      </c>
    </row>
    <row r="216" spans="1:5" ht="15.6" thickTop="1" thickBot="1" x14ac:dyDescent="0.35">
      <c r="A216" s="13">
        <v>8033600</v>
      </c>
      <c r="B216" s="6" t="s">
        <v>88</v>
      </c>
      <c r="C216" t="s">
        <v>13</v>
      </c>
      <c r="D216" s="24" t="s">
        <v>13</v>
      </c>
      <c r="E216" s="24" t="s">
        <v>13</v>
      </c>
    </row>
    <row r="217" spans="1:5" ht="15.6" thickTop="1" thickBot="1" x14ac:dyDescent="0.35">
      <c r="A217" s="13">
        <v>8034700</v>
      </c>
      <c r="B217" s="6" t="s">
        <v>205</v>
      </c>
      <c r="C217" t="s">
        <v>13</v>
      </c>
      <c r="D217" s="24" t="s">
        <v>13</v>
      </c>
      <c r="E217" s="24" t="s">
        <v>13</v>
      </c>
    </row>
    <row r="218" spans="1:5" ht="15.6" thickTop="1" thickBot="1" x14ac:dyDescent="0.35">
      <c r="A218" s="13">
        <v>8034900</v>
      </c>
      <c r="B218" s="6" t="s">
        <v>93</v>
      </c>
      <c r="C218" t="s">
        <v>13</v>
      </c>
      <c r="D218" s="24" t="s">
        <v>13</v>
      </c>
      <c r="E218" s="24" t="s">
        <v>13</v>
      </c>
    </row>
    <row r="219" spans="1:5" ht="15.6" thickTop="1" thickBot="1" x14ac:dyDescent="0.35">
      <c r="A219" s="13">
        <v>8034500</v>
      </c>
      <c r="B219" s="6" t="s">
        <v>204</v>
      </c>
      <c r="C219" t="s">
        <v>13</v>
      </c>
      <c r="D219" s="24" t="s">
        <v>13</v>
      </c>
      <c r="E219" s="24" t="s">
        <v>13</v>
      </c>
    </row>
    <row r="220" spans="1:5" ht="15.6" thickTop="1" thickBot="1" x14ac:dyDescent="0.35">
      <c r="A220" s="13">
        <v>9010560</v>
      </c>
      <c r="B220" s="6" t="s">
        <v>152</v>
      </c>
      <c r="C220" t="s">
        <v>13</v>
      </c>
      <c r="D220" s="24" t="s">
        <v>13</v>
      </c>
      <c r="E220" s="24" t="s">
        <v>13</v>
      </c>
    </row>
    <row r="221" spans="1:5" ht="15.6" thickTop="1" thickBot="1" x14ac:dyDescent="0.35">
      <c r="A221" s="13">
        <v>9010570</v>
      </c>
      <c r="B221" s="6" t="s">
        <v>153</v>
      </c>
      <c r="C221" t="s">
        <v>13</v>
      </c>
      <c r="D221" s="24" t="s">
        <v>13</v>
      </c>
      <c r="E221" s="24" t="s">
        <v>13</v>
      </c>
    </row>
    <row r="222" spans="1:5" ht="15.6" thickTop="1" thickBot="1" x14ac:dyDescent="0.35">
      <c r="A222" s="13">
        <v>8039700</v>
      </c>
      <c r="B222" s="6" t="s">
        <v>24</v>
      </c>
      <c r="C222" t="s">
        <v>13</v>
      </c>
      <c r="D222" s="24" t="s">
        <v>13</v>
      </c>
      <c r="E222" s="24" t="s">
        <v>13</v>
      </c>
    </row>
    <row r="223" spans="1:5" ht="15.6" thickTop="1" thickBot="1" x14ac:dyDescent="0.35">
      <c r="A223" s="13">
        <v>9010760</v>
      </c>
      <c r="B223" s="6" t="s">
        <v>155</v>
      </c>
      <c r="C223" t="s">
        <v>13</v>
      </c>
      <c r="D223" s="24" t="s">
        <v>13</v>
      </c>
      <c r="E223" s="24" t="s">
        <v>13</v>
      </c>
    </row>
    <row r="224" spans="1:5" ht="15.6" thickTop="1" thickBot="1" x14ac:dyDescent="0.35">
      <c r="A224" s="13">
        <v>8059010</v>
      </c>
      <c r="B224" s="6" t="s">
        <v>250</v>
      </c>
      <c r="C224" t="s">
        <v>13</v>
      </c>
      <c r="D224" s="24" t="s">
        <v>13</v>
      </c>
      <c r="E224" s="24" t="s">
        <v>13</v>
      </c>
    </row>
    <row r="225" spans="1:5" ht="15.6" thickTop="1" thickBot="1" x14ac:dyDescent="0.35">
      <c r="A225" s="13">
        <v>8056550</v>
      </c>
      <c r="B225" s="6" t="s">
        <v>138</v>
      </c>
      <c r="C225" t="s">
        <v>13</v>
      </c>
      <c r="D225" s="24" t="s">
        <v>13</v>
      </c>
      <c r="E225" s="24" t="s">
        <v>13</v>
      </c>
    </row>
    <row r="226" spans="1:5" ht="15.6" thickTop="1" thickBot="1" x14ac:dyDescent="0.35">
      <c r="A226" s="13">
        <v>8057895</v>
      </c>
      <c r="B226" s="6" t="s">
        <v>243</v>
      </c>
      <c r="C226" t="s">
        <v>13</v>
      </c>
      <c r="D226" s="24" t="s">
        <v>13</v>
      </c>
      <c r="E226" s="24" t="s">
        <v>13</v>
      </c>
    </row>
    <row r="227" spans="1:5" ht="15.6" thickTop="1" thickBot="1" x14ac:dyDescent="0.35">
      <c r="A227" s="13">
        <v>8057900</v>
      </c>
      <c r="B227" s="6" t="s">
        <v>244</v>
      </c>
      <c r="C227" t="s">
        <v>13</v>
      </c>
      <c r="D227" s="24" t="s">
        <v>13</v>
      </c>
      <c r="E227" s="24" t="s">
        <v>13</v>
      </c>
    </row>
    <row r="228" spans="1:5" ht="15.6" thickTop="1" thickBot="1" x14ac:dyDescent="0.35">
      <c r="A228" s="13">
        <v>8057890</v>
      </c>
      <c r="B228" s="6" t="s">
        <v>242</v>
      </c>
      <c r="C228" t="s">
        <v>13</v>
      </c>
      <c r="D228" s="24" t="s">
        <v>13</v>
      </c>
      <c r="E228" s="24" t="s">
        <v>13</v>
      </c>
    </row>
    <row r="229" spans="1:5" ht="15.6" thickTop="1" thickBot="1" x14ac:dyDescent="0.35">
      <c r="A229" s="13">
        <v>8033400</v>
      </c>
      <c r="B229" s="6" t="s">
        <v>202</v>
      </c>
      <c r="C229" t="s">
        <v>13</v>
      </c>
      <c r="D229" s="24" t="s">
        <v>13</v>
      </c>
      <c r="E229" s="24" t="s">
        <v>13</v>
      </c>
    </row>
    <row r="230" spans="1:5" ht="15.6" thickTop="1" thickBot="1" x14ac:dyDescent="0.35">
      <c r="A230" s="13">
        <v>8033300</v>
      </c>
      <c r="B230" s="6" t="s">
        <v>201</v>
      </c>
      <c r="C230" t="s">
        <v>13</v>
      </c>
      <c r="D230" s="24" t="s">
        <v>13</v>
      </c>
      <c r="E230" s="24" t="s">
        <v>13</v>
      </c>
    </row>
    <row r="231" spans="1:5" ht="15.6" thickTop="1" thickBot="1" x14ac:dyDescent="0.35">
      <c r="A231" s="13">
        <v>8034000</v>
      </c>
      <c r="B231" s="6" t="s">
        <v>92</v>
      </c>
      <c r="C231" t="s">
        <v>13</v>
      </c>
      <c r="D231" s="24" t="s">
        <v>13</v>
      </c>
      <c r="E231" s="24" t="s">
        <v>13</v>
      </c>
    </row>
    <row r="232" spans="1:5" ht="15.6" thickTop="1" thickBot="1" x14ac:dyDescent="0.35">
      <c r="A232" s="13">
        <v>8012100</v>
      </c>
      <c r="B232" s="6" t="s">
        <v>44</v>
      </c>
      <c r="C232" t="s">
        <v>13</v>
      </c>
      <c r="D232" s="24" t="s">
        <v>13</v>
      </c>
      <c r="E232" s="24" t="s">
        <v>13</v>
      </c>
    </row>
    <row r="233" spans="1:5" ht="15.6" thickTop="1" thickBot="1" x14ac:dyDescent="0.35">
      <c r="A233" s="13">
        <v>8055300</v>
      </c>
      <c r="B233" s="6" t="s">
        <v>133</v>
      </c>
      <c r="C233" t="s">
        <v>13</v>
      </c>
      <c r="D233" s="24" t="s">
        <v>13</v>
      </c>
      <c r="E233" s="24" t="s">
        <v>13</v>
      </c>
    </row>
    <row r="234" spans="1:5" ht="15.6" thickTop="1" thickBot="1" x14ac:dyDescent="0.35">
      <c r="A234" s="13">
        <v>8025200</v>
      </c>
      <c r="B234" s="6" t="s">
        <v>194</v>
      </c>
      <c r="C234" t="s">
        <v>13</v>
      </c>
      <c r="D234" s="24" t="s">
        <v>13</v>
      </c>
      <c r="E234" s="24" t="s">
        <v>13</v>
      </c>
    </row>
    <row r="235" spans="1:5" ht="15.6" thickTop="1" thickBot="1" x14ac:dyDescent="0.35">
      <c r="A235" s="13">
        <v>8024800</v>
      </c>
      <c r="B235" s="6" t="s">
        <v>67</v>
      </c>
      <c r="C235" t="s">
        <v>13</v>
      </c>
      <c r="D235" s="24" t="s">
        <v>13</v>
      </c>
      <c r="E235" s="24" t="s">
        <v>13</v>
      </c>
    </row>
    <row r="236" spans="1:5" ht="15.6" thickTop="1" thickBot="1" x14ac:dyDescent="0.35">
      <c r="A236" s="13">
        <v>8055200</v>
      </c>
      <c r="B236" s="6" t="s">
        <v>132</v>
      </c>
      <c r="C236" t="s">
        <v>13</v>
      </c>
      <c r="D236" s="24" t="s">
        <v>13</v>
      </c>
      <c r="E236" s="24" t="s">
        <v>13</v>
      </c>
    </row>
    <row r="237" spans="1:5" ht="15.6" thickTop="1" thickBot="1" x14ac:dyDescent="0.35">
      <c r="A237" s="13">
        <v>8051100</v>
      </c>
      <c r="B237" s="6" t="s">
        <v>25</v>
      </c>
      <c r="C237" t="s">
        <v>13</v>
      </c>
      <c r="D237" s="24" t="s">
        <v>13</v>
      </c>
      <c r="E237" s="24" t="s">
        <v>13</v>
      </c>
    </row>
    <row r="238" spans="1:5" ht="15" thickTop="1" x14ac:dyDescent="0.3"/>
  </sheetData>
  <autoFilter ref="A1:V1" xr:uid="{794F83C9-5D8B-4148-BB57-A0D8C204E3BE}">
    <sortState xmlns:xlrd2="http://schemas.microsoft.com/office/spreadsheetml/2017/richdata2" ref="A2:V237">
      <sortCondition ref="B2:B237"/>
    </sortState>
  </autoFilter>
  <conditionalFormatting sqref="C1:V1">
    <cfRule type="containsText" dxfId="50" priority="79" operator="containsText" text="flir">
      <formula>NOT(ISERROR(SEARCH("flir",C1)))</formula>
    </cfRule>
    <cfRule type="containsText" dxfId="49" priority="80" operator="containsText" text="iteris">
      <formula>NOT(ISERROR(SEARCH("iteris",C1)))</formula>
    </cfRule>
    <cfRule type="containsText" dxfId="48" priority="81" operator="containsText" text="solo">
      <formula>NOT(ISERROR(SEARCH("solo",C1)))</formula>
    </cfRule>
    <cfRule type="containsText" dxfId="47" priority="82" operator="containsText" text="vision">
      <formula>NOT(ISERROR(SEARCH("vision",C1)))</formula>
    </cfRule>
    <cfRule type="containsText" dxfId="46" priority="83" operator="containsText" text="encore">
      <formula>NOT(ISERROR(SEARCH("encore",C1)))</formula>
    </cfRule>
    <cfRule type="containsText" dxfId="45" priority="84" operator="containsText" text="terra">
      <formula>NOT(ISERROR(SEARCH("terra",C1)))</formula>
    </cfRule>
  </conditionalFormatting>
  <conditionalFormatting sqref="F17:V17 F80:V80 F126:V126 F195:V195">
    <cfRule type="containsText" priority="53" stopIfTrue="1" operator="containsText" text="NA">
      <formula>NOT(ISERROR(SEARCH("NA",F17)))</formula>
    </cfRule>
    <cfRule type="containsBlanks" priority="54" stopIfTrue="1">
      <formula>LEN(TRIM(F17))=0</formula>
    </cfRule>
    <cfRule type="cellIs" dxfId="44" priority="55" operator="lessThan">
      <formula>-0.1</formula>
    </cfRule>
    <cfRule type="cellIs" dxfId="43" priority="56" operator="greaterThan">
      <formula>0.1</formula>
    </cfRule>
    <cfRule type="cellIs" dxfId="42" priority="57" operator="between">
      <formula>-0.1</formula>
      <formula>-0.05</formula>
    </cfRule>
    <cfRule type="cellIs" dxfId="41" priority="58" operator="between">
      <formula>0.1</formula>
      <formula>0.05</formula>
    </cfRule>
    <cfRule type="cellIs" dxfId="40" priority="59" operator="between">
      <formula>-0.05</formula>
      <formula>0.05</formula>
    </cfRule>
    <cfRule type="containsText" dxfId="39" priority="60" operator="containsText" text="flir">
      <formula>NOT(ISERROR(SEARCH("flir",F17)))</formula>
    </cfRule>
    <cfRule type="containsText" dxfId="38" priority="61" operator="containsText" text="iteris">
      <formula>NOT(ISERROR(SEARCH("iteris",F17)))</formula>
    </cfRule>
    <cfRule type="containsText" dxfId="37" priority="62" operator="containsText" text="solo">
      <formula>NOT(ISERROR(SEARCH("solo",F17)))</formula>
    </cfRule>
    <cfRule type="containsText" dxfId="36" priority="63" operator="containsText" text="vision">
      <formula>NOT(ISERROR(SEARCH("vision",F17)))</formula>
    </cfRule>
    <cfRule type="containsText" dxfId="35" priority="64" operator="containsText" text="encore">
      <formula>NOT(ISERROR(SEARCH("encore",F17)))</formula>
    </cfRule>
    <cfRule type="containsText" dxfId="34" priority="65" operator="containsText" text="terra">
      <formula>NOT(ISERROR(SEARCH("terra",F17)))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EE3BB-7681-4378-98DD-62C8E89BDADC}">
  <sheetPr codeName="Sheet6"/>
  <dimension ref="A1:V17"/>
  <sheetViews>
    <sheetView topLeftCell="B1" workbookViewId="0">
      <selection activeCell="B20" sqref="B20"/>
    </sheetView>
  </sheetViews>
  <sheetFormatPr defaultRowHeight="14.4" x14ac:dyDescent="0.3"/>
  <cols>
    <col min="1" max="1" width="10.5546875" customWidth="1"/>
    <col min="2" max="2" width="74.44140625" bestFit="1" customWidth="1"/>
    <col min="3" max="3" width="15.6640625" bestFit="1" customWidth="1"/>
    <col min="4" max="4" width="9.5546875" customWidth="1"/>
    <col min="5" max="5" width="10.6640625" bestFit="1" customWidth="1"/>
    <col min="6" max="6" width="9.5546875" style="12" bestFit="1" customWidth="1"/>
    <col min="7" max="7" width="12.33203125" style="12" bestFit="1" customWidth="1"/>
    <col min="8" max="8" width="13" style="12" bestFit="1" customWidth="1"/>
    <col min="9" max="9" width="12.5546875" style="12" bestFit="1" customWidth="1"/>
    <col min="10" max="10" width="12.33203125" style="12" bestFit="1" customWidth="1"/>
    <col min="11" max="22" width="8.6640625" style="12" customWidth="1"/>
  </cols>
  <sheetData>
    <row r="1" spans="1:22" s="1" customFormat="1" ht="16.2" thickBot="1" x14ac:dyDescent="0.35">
      <c r="A1" s="7" t="s">
        <v>27</v>
      </c>
      <c r="B1" s="8" t="s">
        <v>26</v>
      </c>
      <c r="C1" s="3" t="s">
        <v>516</v>
      </c>
      <c r="D1" s="3" t="s">
        <v>175</v>
      </c>
      <c r="E1" s="4" t="s">
        <v>173</v>
      </c>
      <c r="F1" s="10" t="s">
        <v>172</v>
      </c>
      <c r="G1" s="10" t="s">
        <v>159</v>
      </c>
      <c r="H1" s="10" t="s">
        <v>163</v>
      </c>
      <c r="I1" s="10" t="s">
        <v>167</v>
      </c>
      <c r="J1" s="10" t="s">
        <v>171</v>
      </c>
      <c r="K1" s="10" t="s">
        <v>156</v>
      </c>
      <c r="L1" s="10" t="s">
        <v>157</v>
      </c>
      <c r="M1" s="10" t="s">
        <v>158</v>
      </c>
      <c r="N1" s="10" t="s">
        <v>160</v>
      </c>
      <c r="O1" s="10" t="s">
        <v>161</v>
      </c>
      <c r="P1" s="10" t="s">
        <v>162</v>
      </c>
      <c r="Q1" s="10" t="s">
        <v>164</v>
      </c>
      <c r="R1" s="10" t="s">
        <v>165</v>
      </c>
      <c r="S1" s="10" t="s">
        <v>166</v>
      </c>
      <c r="T1" s="10" t="s">
        <v>168</v>
      </c>
      <c r="U1" s="10" t="s">
        <v>169</v>
      </c>
      <c r="V1" s="10" t="s">
        <v>170</v>
      </c>
    </row>
    <row r="2" spans="1:22" ht="15" thickTop="1" x14ac:dyDescent="0.3">
      <c r="A2">
        <v>8005400</v>
      </c>
      <c r="B2" t="s">
        <v>20</v>
      </c>
      <c r="C2" s="2" t="s">
        <v>497</v>
      </c>
      <c r="D2" s="2">
        <v>45321</v>
      </c>
      <c r="E2" t="s">
        <v>177</v>
      </c>
      <c r="F2" s="11">
        <v>-0.27252252252252251</v>
      </c>
      <c r="G2" s="11">
        <v>-0.20767494356659141</v>
      </c>
      <c r="H2" s="11">
        <v>-0.3884514435695538</v>
      </c>
      <c r="I2" s="11">
        <v>-3.9215686274509803E-2</v>
      </c>
      <c r="J2" s="11">
        <v>0</v>
      </c>
      <c r="K2" s="11">
        <v>-0.90909090909090906</v>
      </c>
      <c r="L2" s="11">
        <v>-0.20070838252656434</v>
      </c>
      <c r="M2" s="11">
        <v>-0.14285714285714285</v>
      </c>
      <c r="N2" s="11">
        <v>-0.4</v>
      </c>
      <c r="O2" s="11">
        <v>-0.39673913043478259</v>
      </c>
      <c r="P2" s="11">
        <v>0</v>
      </c>
      <c r="Q2" s="11">
        <v>-8.3333333333333329E-2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</row>
    <row r="3" spans="1:22" x14ac:dyDescent="0.3">
      <c r="A3">
        <v>8005400</v>
      </c>
      <c r="B3" t="s">
        <v>20</v>
      </c>
      <c r="C3" t="s">
        <v>498</v>
      </c>
      <c r="D3" s="2">
        <v>45385</v>
      </c>
      <c r="E3" t="s">
        <v>177</v>
      </c>
      <c r="F3" s="11">
        <v>-0.20569620253164558</v>
      </c>
      <c r="G3" s="11">
        <v>-0.40837696335078533</v>
      </c>
      <c r="H3" s="11">
        <v>-4.133545310015898E-2</v>
      </c>
      <c r="I3" s="11">
        <v>0</v>
      </c>
      <c r="J3" s="11">
        <v>0</v>
      </c>
      <c r="K3" s="11">
        <v>-0.4</v>
      </c>
      <c r="L3" s="11">
        <v>-0.4157706093189964</v>
      </c>
      <c r="M3" s="11">
        <v>0</v>
      </c>
      <c r="N3" s="11">
        <v>0</v>
      </c>
      <c r="O3" s="11">
        <v>-4.2553191489361701E-2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</row>
    <row r="4" spans="1:22" x14ac:dyDescent="0.3">
      <c r="A4">
        <v>8027200</v>
      </c>
      <c r="B4" t="s">
        <v>1</v>
      </c>
      <c r="C4" s="2" t="s">
        <v>497</v>
      </c>
      <c r="D4" s="2">
        <v>45294</v>
      </c>
      <c r="E4" s="2" t="s">
        <v>176</v>
      </c>
      <c r="F4" s="11">
        <v>-0.30508474576271188</v>
      </c>
      <c r="G4" s="11">
        <v>-0.19332161687170474</v>
      </c>
      <c r="H4" s="11">
        <v>0.11320754716981132</v>
      </c>
      <c r="I4" s="11">
        <v>-3.9097744360902256E-2</v>
      </c>
      <c r="J4" s="11">
        <v>-0.71339173967459324</v>
      </c>
      <c r="K4" s="11">
        <v>-0.30335570469798656</v>
      </c>
      <c r="L4" s="11">
        <v>0.12903225806451613</v>
      </c>
      <c r="M4" s="11">
        <v>-6.0422960725075529E-3</v>
      </c>
      <c r="N4" s="11">
        <v>0.4</v>
      </c>
      <c r="O4" s="11">
        <v>0.125</v>
      </c>
      <c r="P4" s="11">
        <v>0</v>
      </c>
      <c r="Q4" s="11">
        <v>9.2485549132947972E-2</v>
      </c>
      <c r="R4" s="11">
        <v>-0.18892508143322476</v>
      </c>
      <c r="S4" s="11">
        <v>0</v>
      </c>
      <c r="T4" s="11">
        <v>-0.8</v>
      </c>
      <c r="U4" s="11">
        <v>0.23923444976076555</v>
      </c>
      <c r="V4" s="11">
        <v>-1.784366576819407</v>
      </c>
    </row>
    <row r="5" spans="1:22" x14ac:dyDescent="0.3">
      <c r="A5">
        <v>8027200</v>
      </c>
      <c r="B5" t="s">
        <v>1</v>
      </c>
      <c r="C5" t="s">
        <v>498</v>
      </c>
      <c r="D5" s="2">
        <v>45385</v>
      </c>
      <c r="E5" s="2" t="s">
        <v>176</v>
      </c>
      <c r="F5" s="11">
        <v>-7.1599045346062056E-3</v>
      </c>
      <c r="G5" s="11">
        <v>3.7243947858472998E-3</v>
      </c>
      <c r="H5" s="11">
        <v>0</v>
      </c>
      <c r="I5" s="11">
        <v>-2.0618556701030927E-2</v>
      </c>
      <c r="J5" s="11">
        <v>-8.4865629420084864E-3</v>
      </c>
      <c r="K5" s="11">
        <v>2.5974025974025976E-2</v>
      </c>
      <c r="L5" s="11">
        <v>-0.13333333333333333</v>
      </c>
      <c r="M5" s="11">
        <v>-4.3795620437956206E-2</v>
      </c>
      <c r="N5" s="11">
        <v>0</v>
      </c>
      <c r="O5" s="11">
        <v>0</v>
      </c>
      <c r="P5" s="11">
        <v>0</v>
      </c>
      <c r="Q5" s="11">
        <v>9.5238095238095233E-2</v>
      </c>
      <c r="R5" s="11">
        <v>-0.16091954022988506</v>
      </c>
      <c r="S5" s="11">
        <v>0</v>
      </c>
      <c r="T5" s="11">
        <v>-1</v>
      </c>
      <c r="U5" s="11">
        <v>-9.0909090909090912E-2</v>
      </c>
      <c r="V5" s="11">
        <v>2.6565464895635674E-2</v>
      </c>
    </row>
    <row r="6" spans="1:22" x14ac:dyDescent="0.3">
      <c r="A6">
        <v>8039300</v>
      </c>
      <c r="B6" t="s">
        <v>11</v>
      </c>
      <c r="C6" s="2" t="s">
        <v>497</v>
      </c>
      <c r="D6" s="2">
        <v>45313</v>
      </c>
      <c r="E6" t="s">
        <v>177</v>
      </c>
      <c r="F6" s="11">
        <v>-0.15993665874901028</v>
      </c>
      <c r="G6" s="11" t="s">
        <v>13</v>
      </c>
      <c r="H6" s="11">
        <v>-1</v>
      </c>
      <c r="I6" s="11">
        <v>-0.2076923076923077</v>
      </c>
      <c r="J6" s="11">
        <v>5.5284552845528454E-2</v>
      </c>
      <c r="K6" s="11" t="s">
        <v>13</v>
      </c>
      <c r="L6" s="11" t="s">
        <v>13</v>
      </c>
      <c r="M6" s="11" t="s">
        <v>13</v>
      </c>
      <c r="N6" s="11">
        <v>-3.3898305084745763E-2</v>
      </c>
      <c r="O6" s="11">
        <v>2</v>
      </c>
      <c r="P6" s="11">
        <v>-1.8823529411764706</v>
      </c>
      <c r="Q6" s="11" t="s">
        <v>13</v>
      </c>
      <c r="R6" s="11">
        <v>-0.12058212058212059</v>
      </c>
      <c r="S6" s="11">
        <v>-1.2820512820512822</v>
      </c>
      <c r="T6" s="11">
        <v>8.6956521739130432E-2</v>
      </c>
      <c r="U6" s="11">
        <v>4.8000000000000001E-2</v>
      </c>
      <c r="V6" s="11" t="s">
        <v>13</v>
      </c>
    </row>
    <row r="7" spans="1:22" x14ac:dyDescent="0.3">
      <c r="A7">
        <v>8039300</v>
      </c>
      <c r="B7" t="s">
        <v>11</v>
      </c>
      <c r="C7" t="s">
        <v>498</v>
      </c>
      <c r="D7" s="2">
        <v>45390</v>
      </c>
      <c r="E7" t="s">
        <v>177</v>
      </c>
      <c r="F7" s="11">
        <v>-8.5423728813559321E-2</v>
      </c>
      <c r="G7" s="11" t="s">
        <v>13</v>
      </c>
      <c r="H7" s="11">
        <v>-5.3475935828877004E-2</v>
      </c>
      <c r="I7" s="11">
        <v>-1.9933554817275746E-2</v>
      </c>
      <c r="J7" s="11">
        <v>-0.15160349854227406</v>
      </c>
      <c r="K7" s="11" t="s">
        <v>13</v>
      </c>
      <c r="L7" s="11" t="s">
        <v>13</v>
      </c>
      <c r="M7" s="11" t="s">
        <v>13</v>
      </c>
      <c r="N7" s="11">
        <v>3.7735849056603772E-2</v>
      </c>
      <c r="O7" s="11">
        <v>0</v>
      </c>
      <c r="P7" s="11">
        <v>-8.9552238805970144E-2</v>
      </c>
      <c r="Q7" s="11" t="s">
        <v>13</v>
      </c>
      <c r="R7" s="11">
        <v>-1.8083182640144666E-2</v>
      </c>
      <c r="S7" s="11">
        <v>-4.2553191489361701E-2</v>
      </c>
      <c r="T7" s="11">
        <v>-0.04</v>
      </c>
      <c r="U7" s="11">
        <v>-0.17064846416382254</v>
      </c>
      <c r="V7" s="11" t="s">
        <v>13</v>
      </c>
    </row>
    <row r="8" spans="1:22" x14ac:dyDescent="0.3">
      <c r="A8">
        <v>8056150</v>
      </c>
      <c r="B8" t="s">
        <v>8</v>
      </c>
      <c r="C8" s="2" t="s">
        <v>497</v>
      </c>
      <c r="D8" s="2">
        <v>45301</v>
      </c>
      <c r="E8" s="2" t="s">
        <v>174</v>
      </c>
      <c r="F8" s="11">
        <v>-0.19175704989154013</v>
      </c>
      <c r="G8" s="11">
        <v>-3.3149171270718231E-2</v>
      </c>
      <c r="H8" s="11">
        <v>-0.81081081081081086</v>
      </c>
      <c r="I8" s="11">
        <v>-0.11182401466544455</v>
      </c>
      <c r="J8" s="11">
        <v>-0.42902208201892744</v>
      </c>
      <c r="K8" s="11">
        <v>-0.14814814814814814</v>
      </c>
      <c r="L8" s="11">
        <v>1.1794871794871795</v>
      </c>
      <c r="M8" s="11">
        <v>0</v>
      </c>
      <c r="N8" s="11">
        <v>-1.0769230769230769</v>
      </c>
      <c r="O8" s="11">
        <v>0.22222222222222221</v>
      </c>
      <c r="P8" s="11">
        <v>-2</v>
      </c>
      <c r="Q8" s="11">
        <v>-1.0857142857142856</v>
      </c>
      <c r="R8" s="11">
        <v>-4.2042042042042045E-2</v>
      </c>
      <c r="S8" s="11">
        <v>-0.18181818181818182</v>
      </c>
      <c r="T8" s="11">
        <v>0.66666666666666663</v>
      </c>
      <c r="U8" s="11">
        <v>-4.2959427207637228E-2</v>
      </c>
      <c r="V8" s="11">
        <v>-1.4136125654450262</v>
      </c>
    </row>
    <row r="9" spans="1:22" x14ac:dyDescent="0.3">
      <c r="A9">
        <v>8056150</v>
      </c>
      <c r="B9" t="s">
        <v>8</v>
      </c>
      <c r="C9" t="s">
        <v>498</v>
      </c>
      <c r="D9" s="2">
        <v>45385</v>
      </c>
      <c r="E9" t="s">
        <v>174</v>
      </c>
      <c r="F9" s="11">
        <v>-1.9683354728284124E-2</v>
      </c>
      <c r="G9" s="11">
        <v>-6.4239828693790149E-2</v>
      </c>
      <c r="H9" s="11">
        <v>0.34782608695652173</v>
      </c>
      <c r="I9" s="11">
        <v>-2.7027027027027029E-2</v>
      </c>
      <c r="J9" s="11">
        <v>-5.076142131979695E-3</v>
      </c>
      <c r="K9" s="11">
        <v>-8.3769633507853408E-2</v>
      </c>
      <c r="L9" s="11">
        <v>0.22222222222222221</v>
      </c>
      <c r="M9" s="11">
        <v>-2.9850746268656716E-2</v>
      </c>
      <c r="N9" s="11">
        <v>0.58823529411764708</v>
      </c>
      <c r="O9" s="11">
        <v>0.2608695652173913</v>
      </c>
      <c r="P9" s="11">
        <v>0</v>
      </c>
      <c r="Q9" s="11">
        <v>-1.7094017094017096E-2</v>
      </c>
      <c r="R9" s="11">
        <v>-3.5874439461883408E-2</v>
      </c>
      <c r="S9" s="11">
        <v>0.22222222222222221</v>
      </c>
      <c r="T9" s="11">
        <v>0.90909090909090906</v>
      </c>
      <c r="U9" s="11">
        <v>-3.870967741935484E-2</v>
      </c>
      <c r="V9" s="11">
        <v>1.282051282051282E-2</v>
      </c>
    </row>
    <row r="11" spans="1:22" x14ac:dyDescent="0.3">
      <c r="B11" t="s">
        <v>508</v>
      </c>
      <c r="C11">
        <v>2</v>
      </c>
      <c r="E11" s="12"/>
      <c r="H11"/>
      <c r="I11"/>
      <c r="J11"/>
      <c r="N11"/>
      <c r="O11"/>
      <c r="P11"/>
      <c r="Q11"/>
      <c r="R11"/>
      <c r="S11"/>
      <c r="T11"/>
      <c r="U11"/>
      <c r="V11"/>
    </row>
    <row r="12" spans="1:22" x14ac:dyDescent="0.3">
      <c r="B12" t="s">
        <v>509</v>
      </c>
      <c r="C12">
        <v>1</v>
      </c>
    </row>
    <row r="13" spans="1:22" x14ac:dyDescent="0.3">
      <c r="B13" t="s">
        <v>510</v>
      </c>
      <c r="C13">
        <v>0</v>
      </c>
    </row>
    <row r="14" spans="1:22" x14ac:dyDescent="0.3">
      <c r="B14" t="s">
        <v>511</v>
      </c>
      <c r="C14">
        <v>0</v>
      </c>
    </row>
    <row r="15" spans="1:22" x14ac:dyDescent="0.3">
      <c r="B15" t="s">
        <v>512</v>
      </c>
      <c r="C15">
        <v>0</v>
      </c>
    </row>
    <row r="16" spans="1:22" x14ac:dyDescent="0.3">
      <c r="B16" t="s">
        <v>513</v>
      </c>
      <c r="C16">
        <v>0</v>
      </c>
    </row>
    <row r="17" spans="2:3" x14ac:dyDescent="0.3">
      <c r="B17" t="s">
        <v>514</v>
      </c>
      <c r="C17">
        <f>SUM(C11:C16)</f>
        <v>3</v>
      </c>
    </row>
  </sheetData>
  <autoFilter ref="A1:J3" xr:uid="{AB49B738-1EAD-4260-9DA7-6E9B669A033D}">
    <sortState xmlns:xlrd2="http://schemas.microsoft.com/office/spreadsheetml/2017/richdata2" ref="A2:J22">
      <sortCondition ref="A1:A3"/>
    </sortState>
  </autoFilter>
  <conditionalFormatting sqref="C1:V1">
    <cfRule type="containsText" dxfId="33" priority="14" operator="containsText" text="flir">
      <formula>NOT(ISERROR(SEARCH("flir",C1)))</formula>
    </cfRule>
    <cfRule type="containsText" dxfId="32" priority="15" operator="containsText" text="iteris">
      <formula>NOT(ISERROR(SEARCH("iteris",C1)))</formula>
    </cfRule>
    <cfRule type="containsText" dxfId="31" priority="16" operator="containsText" text="solo">
      <formula>NOT(ISERROR(SEARCH("solo",C1)))</formula>
    </cfRule>
    <cfRule type="containsText" dxfId="30" priority="17" operator="containsText" text="vision">
      <formula>NOT(ISERROR(SEARCH("vision",C1)))</formula>
    </cfRule>
    <cfRule type="containsText" dxfId="29" priority="18" operator="containsText" text="encore">
      <formula>NOT(ISERROR(SEARCH("encore",C1)))</formula>
    </cfRule>
    <cfRule type="containsText" dxfId="28" priority="19" operator="containsText" text="terra">
      <formula>NOT(ISERROR(SEARCH("terra",C1)))</formula>
    </cfRule>
  </conditionalFormatting>
  <conditionalFormatting sqref="F2:V9">
    <cfRule type="containsText" priority="1" stopIfTrue="1" operator="containsText" text="NA">
      <formula>NOT(ISERROR(SEARCH("NA",F2)))</formula>
    </cfRule>
    <cfRule type="containsBlanks" priority="2" stopIfTrue="1">
      <formula>LEN(TRIM(F2))=0</formula>
    </cfRule>
    <cfRule type="cellIs" dxfId="27" priority="3" operator="lessThan">
      <formula>-0.1</formula>
    </cfRule>
    <cfRule type="cellIs" dxfId="26" priority="4" operator="greaterThan">
      <formula>0.1</formula>
    </cfRule>
    <cfRule type="cellIs" dxfId="25" priority="5" operator="between">
      <formula>-0.1</formula>
      <formula>-0.05</formula>
    </cfRule>
    <cfRule type="cellIs" dxfId="24" priority="6" operator="between">
      <formula>0.1</formula>
      <formula>0.05</formula>
    </cfRule>
    <cfRule type="cellIs" dxfId="23" priority="7" operator="between">
      <formula>-0.05</formula>
      <formula>0.05</formula>
    </cfRule>
    <cfRule type="containsText" dxfId="22" priority="8" operator="containsText" text="flir">
      <formula>NOT(ISERROR(SEARCH("flir",F2)))</formula>
    </cfRule>
    <cfRule type="containsText" dxfId="21" priority="9" operator="containsText" text="iteris">
      <formula>NOT(ISERROR(SEARCH("iteris",F2)))</formula>
    </cfRule>
    <cfRule type="containsText" dxfId="20" priority="10" operator="containsText" text="solo">
      <formula>NOT(ISERROR(SEARCH("solo",F2)))</formula>
    </cfRule>
    <cfRule type="containsText" dxfId="19" priority="11" operator="containsText" text="vision">
      <formula>NOT(ISERROR(SEARCH("vision",F2)))</formula>
    </cfRule>
    <cfRule type="containsText" dxfId="18" priority="12" operator="containsText" text="encore">
      <formula>NOT(ISERROR(SEARCH("encore",F2)))</formula>
    </cfRule>
    <cfRule type="containsText" dxfId="17" priority="13" operator="containsText" text="terra">
      <formula>NOT(ISERROR(SEARCH("terra",F2)))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CA0F8-23F7-4C8B-BFB2-7AA161554CD1}">
  <sheetPr codeName="Sheet7"/>
  <dimension ref="A1:S20"/>
  <sheetViews>
    <sheetView workbookViewId="0">
      <selection activeCell="Q1" sqref="Q1:S1"/>
    </sheetView>
  </sheetViews>
  <sheetFormatPr defaultRowHeight="14.4" x14ac:dyDescent="0.3"/>
  <sheetData>
    <row r="1" spans="1:19" x14ac:dyDescent="0.3">
      <c r="A1" s="62" t="s">
        <v>26</v>
      </c>
      <c r="B1" s="62"/>
      <c r="C1" s="62"/>
      <c r="D1" s="62"/>
      <c r="E1" s="62" t="s">
        <v>532</v>
      </c>
      <c r="F1" s="62"/>
      <c r="G1" s="62"/>
      <c r="H1" s="62" t="s">
        <v>533</v>
      </c>
      <c r="I1" s="62"/>
      <c r="J1" s="62"/>
      <c r="K1" s="62" t="s">
        <v>534</v>
      </c>
      <c r="L1" s="62"/>
      <c r="M1" s="62"/>
      <c r="N1" s="62" t="s">
        <v>535</v>
      </c>
      <c r="O1" s="62"/>
      <c r="P1" s="62"/>
      <c r="Q1" s="62" t="s">
        <v>536</v>
      </c>
      <c r="R1" s="62"/>
      <c r="S1" s="62"/>
    </row>
    <row r="2" spans="1:19" x14ac:dyDescent="0.3">
      <c r="A2" s="60" t="s">
        <v>537</v>
      </c>
      <c r="B2" s="60"/>
      <c r="C2" s="60"/>
      <c r="D2" s="60"/>
      <c r="E2" s="63" t="s">
        <v>538</v>
      </c>
      <c r="F2" s="63"/>
      <c r="G2" s="63"/>
      <c r="H2" s="60" t="s">
        <v>539</v>
      </c>
      <c r="I2" s="60"/>
      <c r="J2" s="60"/>
      <c r="K2" s="60" t="s">
        <v>539</v>
      </c>
      <c r="L2" s="60"/>
      <c r="M2" s="60"/>
      <c r="N2" s="60"/>
      <c r="O2" s="60"/>
      <c r="P2" s="60"/>
      <c r="Q2" s="60"/>
      <c r="R2" s="60"/>
      <c r="S2" s="60"/>
    </row>
    <row r="3" spans="1:19" x14ac:dyDescent="0.3">
      <c r="A3" s="60" t="s">
        <v>542</v>
      </c>
      <c r="B3" s="60"/>
      <c r="C3" s="60"/>
      <c r="D3" s="60"/>
      <c r="E3" s="63" t="s">
        <v>283</v>
      </c>
      <c r="F3" s="63"/>
      <c r="G3" s="63"/>
      <c r="H3" s="60"/>
      <c r="I3" s="60"/>
      <c r="J3" s="60"/>
      <c r="K3" s="60" t="s">
        <v>543</v>
      </c>
      <c r="L3" s="60"/>
      <c r="M3" s="60"/>
      <c r="N3" s="60"/>
      <c r="O3" s="60"/>
      <c r="P3" s="60"/>
      <c r="Q3" s="60"/>
      <c r="R3" s="60"/>
      <c r="S3" s="60"/>
    </row>
    <row r="4" spans="1:19" x14ac:dyDescent="0.3">
      <c r="A4" s="60" t="s">
        <v>545</v>
      </c>
      <c r="B4" s="60"/>
      <c r="C4" s="60"/>
      <c r="D4" s="60"/>
      <c r="E4" s="63" t="s">
        <v>284</v>
      </c>
      <c r="F4" s="63"/>
      <c r="G4" s="63"/>
      <c r="H4" s="60"/>
      <c r="I4" s="60"/>
      <c r="J4" s="60"/>
      <c r="K4" s="60"/>
      <c r="L4" s="60"/>
      <c r="M4" s="60"/>
      <c r="N4" s="60" t="s">
        <v>546</v>
      </c>
      <c r="O4" s="60"/>
      <c r="P4" s="60"/>
      <c r="Q4" s="60"/>
      <c r="R4" s="60"/>
      <c r="S4" s="60"/>
    </row>
    <row r="5" spans="1:19" x14ac:dyDescent="0.3">
      <c r="A5" s="60" t="s">
        <v>547</v>
      </c>
      <c r="B5" s="60"/>
      <c r="C5" s="60"/>
      <c r="D5" s="60"/>
      <c r="E5" s="63" t="s">
        <v>285</v>
      </c>
      <c r="F5" s="63"/>
      <c r="G5" s="63"/>
      <c r="H5" s="60"/>
      <c r="I5" s="60"/>
      <c r="J5" s="60"/>
      <c r="K5" s="60"/>
      <c r="L5" s="60"/>
      <c r="M5" s="60"/>
      <c r="N5" s="60"/>
      <c r="O5" s="60"/>
      <c r="P5" s="60"/>
      <c r="Q5" s="60" t="s">
        <v>548</v>
      </c>
      <c r="R5" s="60"/>
      <c r="S5" s="60"/>
    </row>
    <row r="6" spans="1:19" x14ac:dyDescent="0.3">
      <c r="A6" s="60" t="s">
        <v>549</v>
      </c>
      <c r="B6" s="60"/>
      <c r="C6" s="60"/>
      <c r="D6" s="60"/>
      <c r="E6" s="33" t="s">
        <v>289</v>
      </c>
      <c r="F6" s="33"/>
      <c r="G6" s="33"/>
      <c r="H6" s="60"/>
      <c r="I6" s="60"/>
      <c r="J6" s="60"/>
      <c r="K6" s="60"/>
      <c r="L6" s="60"/>
      <c r="M6" s="60"/>
      <c r="N6" s="60" t="s">
        <v>550</v>
      </c>
      <c r="O6" s="60"/>
      <c r="P6" s="60"/>
      <c r="Q6" s="60" t="s">
        <v>551</v>
      </c>
      <c r="R6" s="60"/>
      <c r="S6" s="60"/>
    </row>
    <row r="7" spans="1:19" x14ac:dyDescent="0.3">
      <c r="A7" s="60" t="s">
        <v>552</v>
      </c>
      <c r="B7" s="60"/>
      <c r="C7" s="60"/>
      <c r="D7" s="60"/>
      <c r="E7" s="34" t="s">
        <v>303</v>
      </c>
      <c r="F7" s="33"/>
      <c r="G7" s="33"/>
      <c r="H7" s="61" t="s">
        <v>553</v>
      </c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</row>
    <row r="8" spans="1:19" x14ac:dyDescent="0.3">
      <c r="A8" s="60"/>
      <c r="B8" s="60"/>
      <c r="C8" s="60"/>
      <c r="D8" s="60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</row>
    <row r="9" spans="1:19" x14ac:dyDescent="0.3">
      <c r="A9" s="60"/>
      <c r="B9" s="60"/>
      <c r="C9" s="60"/>
      <c r="D9" s="60"/>
    </row>
    <row r="10" spans="1:19" x14ac:dyDescent="0.3">
      <c r="A10" s="60"/>
      <c r="B10" s="60"/>
      <c r="C10" s="60"/>
      <c r="D10" s="60"/>
    </row>
    <row r="11" spans="1:19" x14ac:dyDescent="0.3">
      <c r="A11" s="60"/>
      <c r="B11" s="60"/>
      <c r="C11" s="60"/>
      <c r="D11" s="60"/>
    </row>
    <row r="12" spans="1:19" x14ac:dyDescent="0.3">
      <c r="A12" s="60"/>
      <c r="B12" s="60"/>
      <c r="C12" s="60"/>
      <c r="D12" s="60"/>
    </row>
    <row r="13" spans="1:19" x14ac:dyDescent="0.3">
      <c r="A13" s="60"/>
      <c r="B13" s="60"/>
      <c r="C13" s="60"/>
      <c r="D13" s="60"/>
    </row>
    <row r="14" spans="1:19" x14ac:dyDescent="0.3">
      <c r="A14" s="60"/>
      <c r="B14" s="60"/>
      <c r="C14" s="60"/>
      <c r="D14" s="60"/>
    </row>
    <row r="15" spans="1:19" x14ac:dyDescent="0.3">
      <c r="A15" s="60"/>
      <c r="B15" s="60"/>
      <c r="C15" s="60"/>
      <c r="D15" s="60"/>
    </row>
    <row r="16" spans="1:19" x14ac:dyDescent="0.3">
      <c r="A16" s="60"/>
      <c r="B16" s="60"/>
      <c r="C16" s="60"/>
      <c r="D16" s="60"/>
    </row>
    <row r="17" spans="1:4" x14ac:dyDescent="0.3">
      <c r="A17" s="60"/>
      <c r="B17" s="60"/>
      <c r="C17" s="60"/>
      <c r="D17" s="60"/>
    </row>
    <row r="18" spans="1:4" x14ac:dyDescent="0.3">
      <c r="A18" s="60"/>
      <c r="B18" s="60"/>
      <c r="C18" s="60"/>
      <c r="D18" s="60"/>
    </row>
    <row r="19" spans="1:4" x14ac:dyDescent="0.3">
      <c r="A19" s="60"/>
      <c r="B19" s="60"/>
      <c r="C19" s="60"/>
      <c r="D19" s="60"/>
    </row>
    <row r="20" spans="1:4" x14ac:dyDescent="0.3">
      <c r="A20" s="60"/>
      <c r="B20" s="60"/>
      <c r="C20" s="60"/>
      <c r="D20" s="60"/>
    </row>
  </sheetData>
  <mergeCells count="49">
    <mergeCell ref="A17:D17"/>
    <mergeCell ref="A18:D18"/>
    <mergeCell ref="A19:D19"/>
    <mergeCell ref="A20:D20"/>
    <mergeCell ref="A11:D11"/>
    <mergeCell ref="A12:D12"/>
    <mergeCell ref="A13:D13"/>
    <mergeCell ref="A14:D14"/>
    <mergeCell ref="A15:D15"/>
    <mergeCell ref="A16:D16"/>
    <mergeCell ref="A10:D10"/>
    <mergeCell ref="A2:D2"/>
    <mergeCell ref="E2:G2"/>
    <mergeCell ref="A3:D3"/>
    <mergeCell ref="E3:G3"/>
    <mergeCell ref="A4:D4"/>
    <mergeCell ref="E4:G4"/>
    <mergeCell ref="E5:G5"/>
    <mergeCell ref="A5:D5"/>
    <mergeCell ref="A6:D6"/>
    <mergeCell ref="A7:D7"/>
    <mergeCell ref="A8:D8"/>
    <mergeCell ref="A9:D9"/>
    <mergeCell ref="A1:D1"/>
    <mergeCell ref="E1:G1"/>
    <mergeCell ref="H1:J1"/>
    <mergeCell ref="K1:M1"/>
    <mergeCell ref="N1:P1"/>
    <mergeCell ref="Q1:S1"/>
    <mergeCell ref="H2:J2"/>
    <mergeCell ref="K2:M2"/>
    <mergeCell ref="N2:P2"/>
    <mergeCell ref="Q2:S2"/>
    <mergeCell ref="H3:J3"/>
    <mergeCell ref="K3:M3"/>
    <mergeCell ref="N3:P3"/>
    <mergeCell ref="Q3:S3"/>
    <mergeCell ref="H4:J4"/>
    <mergeCell ref="K4:M4"/>
    <mergeCell ref="Q4:S4"/>
    <mergeCell ref="N4:P5"/>
    <mergeCell ref="H5:J5"/>
    <mergeCell ref="K5:M5"/>
    <mergeCell ref="Q5:S5"/>
    <mergeCell ref="H6:J6"/>
    <mergeCell ref="K6:M6"/>
    <mergeCell ref="N6:P6"/>
    <mergeCell ref="Q6:S6"/>
    <mergeCell ref="H7:S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00D3D-1E21-4DC7-A73A-9291B809D386}">
  <dimension ref="A1:V238"/>
  <sheetViews>
    <sheetView workbookViewId="0">
      <selection activeCell="B7" sqref="B7"/>
    </sheetView>
  </sheetViews>
  <sheetFormatPr defaultRowHeight="14.4" x14ac:dyDescent="0.3"/>
  <cols>
    <col min="1" max="1" width="8" bestFit="1" customWidth="1"/>
    <col min="2" max="2" width="73.44140625" bestFit="1" customWidth="1"/>
    <col min="3" max="3" width="15.6640625" customWidth="1"/>
    <col min="4" max="4" width="9.88671875" style="24" bestFit="1" customWidth="1"/>
    <col min="5" max="5" width="15.33203125" bestFit="1" customWidth="1"/>
    <col min="6" max="6" width="9.5546875" style="12" bestFit="1" customWidth="1"/>
    <col min="7" max="7" width="12.33203125" style="12" bestFit="1" customWidth="1"/>
    <col min="8" max="8" width="13" style="12" bestFit="1" customWidth="1"/>
    <col min="9" max="9" width="12.5546875" style="12" bestFit="1" customWidth="1"/>
    <col min="10" max="10" width="12.33203125" style="12" bestFit="1" customWidth="1"/>
    <col min="11" max="22" width="8.6640625" style="12" customWidth="1"/>
  </cols>
  <sheetData>
    <row r="1" spans="1:22" s="1" customFormat="1" ht="16.2" thickBot="1" x14ac:dyDescent="0.35">
      <c r="A1" s="7" t="s">
        <v>27</v>
      </c>
      <c r="B1" s="8" t="s">
        <v>26</v>
      </c>
      <c r="C1" s="3" t="s">
        <v>516</v>
      </c>
      <c r="D1" s="30" t="s">
        <v>175</v>
      </c>
      <c r="E1" s="4" t="s">
        <v>173</v>
      </c>
      <c r="F1" s="10" t="s">
        <v>172</v>
      </c>
      <c r="G1" s="10" t="s">
        <v>159</v>
      </c>
      <c r="H1" s="10" t="s">
        <v>163</v>
      </c>
      <c r="I1" s="10" t="s">
        <v>167</v>
      </c>
      <c r="J1" s="10" t="s">
        <v>171</v>
      </c>
      <c r="K1" s="10" t="s">
        <v>156</v>
      </c>
      <c r="L1" s="10" t="s">
        <v>157</v>
      </c>
      <c r="M1" s="10" t="s">
        <v>158</v>
      </c>
      <c r="N1" s="10" t="s">
        <v>160</v>
      </c>
      <c r="O1" s="10" t="s">
        <v>161</v>
      </c>
      <c r="P1" s="10" t="s">
        <v>162</v>
      </c>
      <c r="Q1" s="10" t="s">
        <v>164</v>
      </c>
      <c r="R1" s="10" t="s">
        <v>165</v>
      </c>
      <c r="S1" s="10" t="s">
        <v>166</v>
      </c>
      <c r="T1" s="10" t="s">
        <v>168</v>
      </c>
      <c r="U1" s="10" t="s">
        <v>169</v>
      </c>
      <c r="V1" s="10" t="s">
        <v>170</v>
      </c>
    </row>
    <row r="2" spans="1:22" ht="15.6" thickTop="1" thickBot="1" x14ac:dyDescent="0.35">
      <c r="A2" s="13">
        <v>8059100</v>
      </c>
      <c r="B2" s="6" t="s">
        <v>496</v>
      </c>
      <c r="C2" t="s">
        <v>13</v>
      </c>
      <c r="D2" s="24" t="s">
        <v>13</v>
      </c>
      <c r="E2" s="24" t="s">
        <v>13</v>
      </c>
    </row>
    <row r="3" spans="1:22" ht="15.6" thickTop="1" thickBot="1" x14ac:dyDescent="0.35">
      <c r="A3" s="13">
        <v>8008400</v>
      </c>
      <c r="B3" s="6" t="s">
        <v>40</v>
      </c>
      <c r="C3" t="s">
        <v>13</v>
      </c>
      <c r="D3" s="24" t="s">
        <v>13</v>
      </c>
      <c r="E3" s="24" t="s">
        <v>13</v>
      </c>
    </row>
    <row r="4" spans="1:22" ht="15.6" thickTop="1" thickBot="1" x14ac:dyDescent="0.35">
      <c r="A4" s="13">
        <v>8018400</v>
      </c>
      <c r="B4" s="6" t="s">
        <v>192</v>
      </c>
      <c r="C4" t="s">
        <v>13</v>
      </c>
      <c r="D4" s="24" t="s">
        <v>13</v>
      </c>
      <c r="E4" s="24" t="s">
        <v>13</v>
      </c>
    </row>
    <row r="5" spans="1:22" ht="15.6" thickTop="1" thickBot="1" x14ac:dyDescent="0.35">
      <c r="A5" s="13">
        <v>8044600</v>
      </c>
      <c r="B5" s="6" t="s">
        <v>110</v>
      </c>
      <c r="C5" t="s">
        <v>13</v>
      </c>
      <c r="D5" s="24" t="s">
        <v>13</v>
      </c>
      <c r="E5" s="24" t="s">
        <v>13</v>
      </c>
    </row>
    <row r="6" spans="1:22" ht="15.6" thickTop="1" thickBot="1" x14ac:dyDescent="0.35">
      <c r="A6" s="13">
        <v>8022400</v>
      </c>
      <c r="B6" s="6" t="s">
        <v>62</v>
      </c>
      <c r="C6" t="s">
        <v>504</v>
      </c>
      <c r="D6" s="23">
        <v>46051</v>
      </c>
      <c r="E6" s="32">
        <v>0.625</v>
      </c>
      <c r="F6" s="57">
        <v>-0.37469999999999998</v>
      </c>
      <c r="G6" s="57">
        <v>-0.57389999999999997</v>
      </c>
      <c r="H6" s="57">
        <v>-0.1905</v>
      </c>
      <c r="I6" s="57">
        <v>-0.16919999999999999</v>
      </c>
      <c r="J6" s="57">
        <v>-0.60870000000000002</v>
      </c>
      <c r="K6" s="57">
        <v>0</v>
      </c>
      <c r="L6" s="57">
        <v>-0.42970000000000003</v>
      </c>
      <c r="M6" s="57">
        <v>-1</v>
      </c>
      <c r="N6" s="35">
        <v>0</v>
      </c>
      <c r="O6" s="35">
        <v>-0.2</v>
      </c>
      <c r="P6" s="35">
        <v>0</v>
      </c>
      <c r="Q6" s="57">
        <v>-0.15909999999999999</v>
      </c>
      <c r="R6" s="57">
        <v>-0.25</v>
      </c>
      <c r="S6" s="57">
        <v>-0.1111</v>
      </c>
      <c r="T6" s="57">
        <v>0</v>
      </c>
      <c r="U6" s="57">
        <v>-0.82350000000000001</v>
      </c>
      <c r="V6" s="58">
        <v>0</v>
      </c>
    </row>
    <row r="7" spans="1:22" ht="15.6" thickTop="1" thickBot="1" x14ac:dyDescent="0.35">
      <c r="A7" s="13">
        <v>8052100</v>
      </c>
      <c r="B7" s="6" t="s">
        <v>233</v>
      </c>
      <c r="C7" t="s">
        <v>13</v>
      </c>
      <c r="D7" s="24" t="s">
        <v>13</v>
      </c>
      <c r="E7" s="24" t="s">
        <v>13</v>
      </c>
    </row>
    <row r="8" spans="1:22" ht="15.6" thickTop="1" thickBot="1" x14ac:dyDescent="0.35">
      <c r="A8" s="13">
        <v>8037200</v>
      </c>
      <c r="B8" s="6" t="s">
        <v>209</v>
      </c>
      <c r="C8" t="s">
        <v>13</v>
      </c>
      <c r="D8" s="24" t="s">
        <v>13</v>
      </c>
      <c r="E8" s="24" t="s">
        <v>13</v>
      </c>
    </row>
    <row r="9" spans="1:22" ht="15.6" thickTop="1" thickBot="1" x14ac:dyDescent="0.35">
      <c r="A9" s="13">
        <v>8057300</v>
      </c>
      <c r="B9" s="6" t="s">
        <v>141</v>
      </c>
      <c r="C9" t="s">
        <v>13</v>
      </c>
      <c r="D9" s="24" t="s">
        <v>13</v>
      </c>
      <c r="E9" s="24" t="s">
        <v>13</v>
      </c>
    </row>
    <row r="10" spans="1:22" ht="15.6" thickTop="1" thickBot="1" x14ac:dyDescent="0.35">
      <c r="A10" s="13">
        <v>8051400</v>
      </c>
      <c r="B10" s="6" t="s">
        <v>229</v>
      </c>
      <c r="C10" t="s">
        <v>13</v>
      </c>
      <c r="D10" s="24" t="s">
        <v>13</v>
      </c>
      <c r="E10" s="24" t="s">
        <v>13</v>
      </c>
    </row>
    <row r="11" spans="1:22" ht="15.6" thickTop="1" thickBot="1" x14ac:dyDescent="0.35">
      <c r="A11" s="13">
        <v>8037400</v>
      </c>
      <c r="B11" s="6" t="s">
        <v>211</v>
      </c>
      <c r="C11" t="s">
        <v>13</v>
      </c>
      <c r="D11" s="24" t="s">
        <v>13</v>
      </c>
      <c r="E11" s="24" t="s">
        <v>13</v>
      </c>
    </row>
    <row r="12" spans="1:22" ht="15.6" thickTop="1" thickBot="1" x14ac:dyDescent="0.35">
      <c r="A12" s="13">
        <v>8037300</v>
      </c>
      <c r="B12" s="6" t="s">
        <v>210</v>
      </c>
      <c r="C12" t="s">
        <v>13</v>
      </c>
      <c r="D12" s="24" t="s">
        <v>13</v>
      </c>
      <c r="E12" s="24" t="s">
        <v>13</v>
      </c>
    </row>
    <row r="13" spans="1:22" ht="15.6" thickTop="1" thickBot="1" x14ac:dyDescent="0.35">
      <c r="A13" s="13">
        <v>8048500</v>
      </c>
      <c r="B13" s="6" t="s">
        <v>220</v>
      </c>
      <c r="C13" t="s">
        <v>13</v>
      </c>
      <c r="D13" s="24" t="s">
        <v>13</v>
      </c>
      <c r="E13" s="24" t="s">
        <v>13</v>
      </c>
    </row>
    <row r="14" spans="1:22" ht="15.6" thickTop="1" thickBot="1" x14ac:dyDescent="0.35">
      <c r="A14" s="13">
        <v>8052000</v>
      </c>
      <c r="B14" s="6" t="s">
        <v>232</v>
      </c>
      <c r="C14" t="s">
        <v>13</v>
      </c>
      <c r="D14" s="24" t="s">
        <v>13</v>
      </c>
      <c r="E14" s="24" t="s">
        <v>13</v>
      </c>
    </row>
    <row r="15" spans="1:22" ht="15.6" thickTop="1" thickBot="1" x14ac:dyDescent="0.35">
      <c r="A15" s="13">
        <v>8015500</v>
      </c>
      <c r="B15" s="6" t="s">
        <v>4</v>
      </c>
      <c r="C15" t="s">
        <v>13</v>
      </c>
      <c r="D15" s="24" t="s">
        <v>13</v>
      </c>
      <c r="E15" s="24" t="s">
        <v>13</v>
      </c>
    </row>
    <row r="16" spans="1:22" ht="15.6" thickTop="1" thickBot="1" x14ac:dyDescent="0.35">
      <c r="A16" s="13">
        <v>8025600</v>
      </c>
      <c r="B16" s="6" t="s">
        <v>69</v>
      </c>
      <c r="C16" t="s">
        <v>13</v>
      </c>
      <c r="D16" s="24" t="s">
        <v>13</v>
      </c>
      <c r="E16" s="24" t="s">
        <v>13</v>
      </c>
    </row>
    <row r="17" spans="1:5" ht="15.6" thickTop="1" thickBot="1" x14ac:dyDescent="0.35">
      <c r="A17" s="13">
        <v>8043800</v>
      </c>
      <c r="B17" s="6" t="s">
        <v>12</v>
      </c>
      <c r="C17" t="s">
        <v>13</v>
      </c>
      <c r="D17" s="24" t="s">
        <v>13</v>
      </c>
      <c r="E17" s="24" t="s">
        <v>13</v>
      </c>
    </row>
    <row r="18" spans="1:5" ht="15.6" thickTop="1" thickBot="1" x14ac:dyDescent="0.35">
      <c r="A18" s="13">
        <v>8013100</v>
      </c>
      <c r="B18" s="6" t="s">
        <v>14</v>
      </c>
      <c r="C18" t="s">
        <v>13</v>
      </c>
      <c r="D18" s="24" t="s">
        <v>13</v>
      </c>
      <c r="E18" s="24" t="s">
        <v>13</v>
      </c>
    </row>
    <row r="19" spans="1:5" ht="15.6" thickTop="1" thickBot="1" x14ac:dyDescent="0.35">
      <c r="A19" s="13">
        <v>8038800</v>
      </c>
      <c r="B19" s="6" t="s">
        <v>100</v>
      </c>
      <c r="C19" t="s">
        <v>13</v>
      </c>
      <c r="D19" s="24" t="s">
        <v>13</v>
      </c>
      <c r="E19" s="24" t="s">
        <v>13</v>
      </c>
    </row>
    <row r="20" spans="1:5" ht="15.6" thickTop="1" thickBot="1" x14ac:dyDescent="0.35">
      <c r="A20" s="13">
        <v>8021000</v>
      </c>
      <c r="B20" s="6" t="s">
        <v>58</v>
      </c>
      <c r="C20" t="s">
        <v>13</v>
      </c>
      <c r="D20" s="24" t="s">
        <v>13</v>
      </c>
      <c r="E20" s="24" t="s">
        <v>13</v>
      </c>
    </row>
    <row r="21" spans="1:5" ht="15.6" thickTop="1" thickBot="1" x14ac:dyDescent="0.35">
      <c r="A21" s="13">
        <v>8029100</v>
      </c>
      <c r="B21" s="6" t="s">
        <v>83</v>
      </c>
      <c r="C21" t="s">
        <v>13</v>
      </c>
      <c r="D21" s="24" t="s">
        <v>13</v>
      </c>
      <c r="E21" s="24" t="s">
        <v>13</v>
      </c>
    </row>
    <row r="22" spans="1:5" ht="15.6" thickTop="1" thickBot="1" x14ac:dyDescent="0.35">
      <c r="A22" s="13">
        <v>8013500</v>
      </c>
      <c r="B22" s="6" t="s">
        <v>15</v>
      </c>
      <c r="C22" t="s">
        <v>13</v>
      </c>
      <c r="D22" s="24" t="s">
        <v>13</v>
      </c>
      <c r="E22" s="24" t="s">
        <v>13</v>
      </c>
    </row>
    <row r="23" spans="1:5" ht="15.6" thickTop="1" thickBot="1" x14ac:dyDescent="0.35">
      <c r="A23" s="13">
        <v>8031600</v>
      </c>
      <c r="B23" s="6" t="s">
        <v>86</v>
      </c>
      <c r="C23" t="s">
        <v>13</v>
      </c>
      <c r="D23" s="24" t="s">
        <v>13</v>
      </c>
      <c r="E23" s="24" t="s">
        <v>13</v>
      </c>
    </row>
    <row r="24" spans="1:5" ht="15.6" thickTop="1" thickBot="1" x14ac:dyDescent="0.35">
      <c r="A24" s="13">
        <v>8052700</v>
      </c>
      <c r="B24" s="6" t="s">
        <v>120</v>
      </c>
      <c r="C24" t="s">
        <v>13</v>
      </c>
      <c r="D24" s="24" t="s">
        <v>13</v>
      </c>
      <c r="E24" s="24" t="s">
        <v>13</v>
      </c>
    </row>
    <row r="25" spans="1:5" ht="15.6" thickTop="1" thickBot="1" x14ac:dyDescent="0.35">
      <c r="A25" s="13">
        <v>8005200</v>
      </c>
      <c r="B25" s="6" t="s">
        <v>34</v>
      </c>
      <c r="C25" t="s">
        <v>13</v>
      </c>
      <c r="D25" s="24" t="s">
        <v>13</v>
      </c>
      <c r="E25" s="24" t="s">
        <v>13</v>
      </c>
    </row>
    <row r="26" spans="1:5" ht="15.6" thickTop="1" thickBot="1" x14ac:dyDescent="0.35">
      <c r="A26" s="13">
        <v>8024100</v>
      </c>
      <c r="B26" s="6" t="s">
        <v>65</v>
      </c>
      <c r="C26" t="s">
        <v>13</v>
      </c>
      <c r="D26" s="24" t="s">
        <v>13</v>
      </c>
      <c r="E26" s="24" t="s">
        <v>13</v>
      </c>
    </row>
    <row r="27" spans="1:5" ht="15.6" thickTop="1" thickBot="1" x14ac:dyDescent="0.35">
      <c r="A27" s="13">
        <v>8056000</v>
      </c>
      <c r="B27" s="6" t="s">
        <v>135</v>
      </c>
      <c r="C27" t="s">
        <v>13</v>
      </c>
      <c r="D27" s="24" t="s">
        <v>13</v>
      </c>
      <c r="E27" s="24" t="s">
        <v>13</v>
      </c>
    </row>
    <row r="28" spans="1:5" ht="15.6" thickTop="1" thickBot="1" x14ac:dyDescent="0.35">
      <c r="A28" s="13">
        <v>8040000</v>
      </c>
      <c r="B28" s="6" t="s">
        <v>104</v>
      </c>
      <c r="C28" t="s">
        <v>13</v>
      </c>
      <c r="D28" s="24" t="s">
        <v>13</v>
      </c>
      <c r="E28" s="24" t="s">
        <v>13</v>
      </c>
    </row>
    <row r="29" spans="1:5" ht="15.6" thickTop="1" thickBot="1" x14ac:dyDescent="0.35">
      <c r="A29" s="13">
        <v>8035100</v>
      </c>
      <c r="B29" s="6" t="s">
        <v>206</v>
      </c>
      <c r="C29" t="s">
        <v>13</v>
      </c>
      <c r="D29" s="24" t="s">
        <v>13</v>
      </c>
      <c r="E29" s="24" t="s">
        <v>13</v>
      </c>
    </row>
    <row r="30" spans="1:5" ht="15.6" thickTop="1" thickBot="1" x14ac:dyDescent="0.35">
      <c r="A30" s="13">
        <v>8049100</v>
      </c>
      <c r="B30" s="6" t="s">
        <v>223</v>
      </c>
      <c r="C30" t="s">
        <v>13</v>
      </c>
      <c r="D30" s="24" t="s">
        <v>13</v>
      </c>
      <c r="E30" s="24" t="s">
        <v>13</v>
      </c>
    </row>
    <row r="31" spans="1:5" ht="15.6" thickTop="1" thickBot="1" x14ac:dyDescent="0.35">
      <c r="A31" s="13">
        <v>8049200</v>
      </c>
      <c r="B31" s="6" t="s">
        <v>116</v>
      </c>
      <c r="C31" t="s">
        <v>13</v>
      </c>
      <c r="D31" s="24" t="s">
        <v>13</v>
      </c>
      <c r="E31" s="24" t="s">
        <v>13</v>
      </c>
    </row>
    <row r="32" spans="1:5" ht="15.6" thickTop="1" thickBot="1" x14ac:dyDescent="0.35">
      <c r="A32" s="13">
        <v>8054500</v>
      </c>
      <c r="B32" s="6" t="s">
        <v>126</v>
      </c>
      <c r="C32" t="s">
        <v>13</v>
      </c>
      <c r="D32" s="24" t="s">
        <v>13</v>
      </c>
      <c r="E32" s="24" t="s">
        <v>13</v>
      </c>
    </row>
    <row r="33" spans="1:5" ht="15.6" thickTop="1" thickBot="1" x14ac:dyDescent="0.35">
      <c r="A33" s="13">
        <v>8056300</v>
      </c>
      <c r="B33" s="6" t="s">
        <v>137</v>
      </c>
      <c r="C33" t="s">
        <v>13</v>
      </c>
      <c r="D33" s="24" t="s">
        <v>13</v>
      </c>
      <c r="E33" s="24" t="s">
        <v>13</v>
      </c>
    </row>
    <row r="34" spans="1:5" ht="15.6" thickTop="1" thickBot="1" x14ac:dyDescent="0.35">
      <c r="A34" s="13">
        <v>8046600</v>
      </c>
      <c r="B34" s="6" t="s">
        <v>113</v>
      </c>
      <c r="C34" t="s">
        <v>13</v>
      </c>
      <c r="D34" s="24" t="s">
        <v>13</v>
      </c>
      <c r="E34" s="24" t="s">
        <v>13</v>
      </c>
    </row>
    <row r="35" spans="1:5" ht="15.6" thickTop="1" thickBot="1" x14ac:dyDescent="0.35">
      <c r="A35" s="13">
        <v>8008600</v>
      </c>
      <c r="B35" s="6" t="s">
        <v>41</v>
      </c>
      <c r="C35" t="s">
        <v>13</v>
      </c>
      <c r="D35" s="24" t="s">
        <v>13</v>
      </c>
      <c r="E35" s="24" t="s">
        <v>13</v>
      </c>
    </row>
    <row r="36" spans="1:5" ht="15.6" thickTop="1" thickBot="1" x14ac:dyDescent="0.35">
      <c r="A36" s="13">
        <v>8017900</v>
      </c>
      <c r="B36" s="6" t="s">
        <v>52</v>
      </c>
      <c r="C36" t="s">
        <v>13</v>
      </c>
      <c r="D36" s="24" t="s">
        <v>13</v>
      </c>
      <c r="E36" s="24" t="s">
        <v>13</v>
      </c>
    </row>
    <row r="37" spans="1:5" ht="15.6" thickTop="1" thickBot="1" x14ac:dyDescent="0.35">
      <c r="A37" s="13">
        <v>8010300</v>
      </c>
      <c r="B37" s="6" t="s">
        <v>188</v>
      </c>
      <c r="C37" t="s">
        <v>13</v>
      </c>
      <c r="D37" s="24" t="s">
        <v>13</v>
      </c>
      <c r="E37" s="24" t="s">
        <v>13</v>
      </c>
    </row>
    <row r="38" spans="1:5" ht="15.6" thickTop="1" thickBot="1" x14ac:dyDescent="0.35">
      <c r="A38" s="13">
        <v>8024500</v>
      </c>
      <c r="B38" s="6" t="s">
        <v>16</v>
      </c>
      <c r="C38" t="s">
        <v>13</v>
      </c>
      <c r="D38" s="24" t="s">
        <v>13</v>
      </c>
      <c r="E38" s="24" t="s">
        <v>13</v>
      </c>
    </row>
    <row r="39" spans="1:5" ht="15.6" thickTop="1" thickBot="1" x14ac:dyDescent="0.35">
      <c r="A39" s="13">
        <v>8037100</v>
      </c>
      <c r="B39" s="6" t="s">
        <v>208</v>
      </c>
      <c r="C39" t="s">
        <v>13</v>
      </c>
      <c r="D39" s="24" t="s">
        <v>13</v>
      </c>
      <c r="E39" s="24" t="s">
        <v>13</v>
      </c>
    </row>
    <row r="40" spans="1:5" ht="15.6" thickTop="1" thickBot="1" x14ac:dyDescent="0.35">
      <c r="A40" s="13">
        <v>9010810</v>
      </c>
      <c r="B40" s="6" t="s">
        <v>259</v>
      </c>
      <c r="C40" t="s">
        <v>13</v>
      </c>
      <c r="D40" s="24" t="s">
        <v>13</v>
      </c>
      <c r="E40" s="24" t="s">
        <v>13</v>
      </c>
    </row>
    <row r="41" spans="1:5" ht="15.6" thickTop="1" thickBot="1" x14ac:dyDescent="0.35">
      <c r="A41" s="13">
        <v>8057750</v>
      </c>
      <c r="B41" s="6" t="s">
        <v>149</v>
      </c>
      <c r="C41" t="s">
        <v>13</v>
      </c>
      <c r="D41" s="24" t="s">
        <v>13</v>
      </c>
      <c r="E41" s="24" t="s">
        <v>13</v>
      </c>
    </row>
    <row r="42" spans="1:5" ht="15.6" thickTop="1" thickBot="1" x14ac:dyDescent="0.35">
      <c r="A42" s="13">
        <v>8051900</v>
      </c>
      <c r="B42" s="6" t="s">
        <v>231</v>
      </c>
      <c r="C42" t="s">
        <v>13</v>
      </c>
      <c r="D42" s="24" t="s">
        <v>13</v>
      </c>
      <c r="E42" s="24" t="s">
        <v>13</v>
      </c>
    </row>
    <row r="43" spans="1:5" ht="15.6" thickTop="1" thickBot="1" x14ac:dyDescent="0.35">
      <c r="A43" s="13">
        <v>8048700</v>
      </c>
      <c r="B43" s="6" t="s">
        <v>221</v>
      </c>
      <c r="C43" t="s">
        <v>13</v>
      </c>
      <c r="D43" s="24" t="s">
        <v>13</v>
      </c>
      <c r="E43" s="24" t="s">
        <v>13</v>
      </c>
    </row>
    <row r="44" spans="1:5" ht="15.6" thickTop="1" thickBot="1" x14ac:dyDescent="0.35">
      <c r="A44" s="13">
        <v>8040200</v>
      </c>
      <c r="B44" s="6" t="s">
        <v>105</v>
      </c>
      <c r="C44" t="s">
        <v>13</v>
      </c>
      <c r="D44" s="24" t="s">
        <v>13</v>
      </c>
      <c r="E44" s="24" t="s">
        <v>13</v>
      </c>
    </row>
    <row r="45" spans="1:5" ht="15.6" thickTop="1" thickBot="1" x14ac:dyDescent="0.35">
      <c r="A45" s="13">
        <v>8042200</v>
      </c>
      <c r="B45" s="6" t="s">
        <v>106</v>
      </c>
      <c r="C45" t="s">
        <v>13</v>
      </c>
      <c r="D45" s="24" t="s">
        <v>13</v>
      </c>
      <c r="E45" s="24" t="s">
        <v>13</v>
      </c>
    </row>
    <row r="46" spans="1:5" ht="15.6" thickTop="1" thickBot="1" x14ac:dyDescent="0.35">
      <c r="A46" s="13">
        <v>8042300</v>
      </c>
      <c r="B46" s="6" t="s">
        <v>214</v>
      </c>
      <c r="C46" t="s">
        <v>13</v>
      </c>
      <c r="D46" s="24" t="s">
        <v>13</v>
      </c>
      <c r="E46" s="24" t="s">
        <v>13</v>
      </c>
    </row>
    <row r="47" spans="1:5" ht="15.6" thickTop="1" thickBot="1" x14ac:dyDescent="0.35">
      <c r="A47" s="13">
        <v>8030200</v>
      </c>
      <c r="B47" s="6" t="s">
        <v>9</v>
      </c>
      <c r="C47" t="s">
        <v>13</v>
      </c>
      <c r="D47" s="24" t="s">
        <v>13</v>
      </c>
      <c r="E47" s="24" t="s">
        <v>13</v>
      </c>
    </row>
    <row r="48" spans="1:5" ht="15.6" thickTop="1" thickBot="1" x14ac:dyDescent="0.35">
      <c r="A48" s="13">
        <v>8032400</v>
      </c>
      <c r="B48" s="6" t="s">
        <v>5</v>
      </c>
      <c r="C48" t="s">
        <v>13</v>
      </c>
      <c r="D48" s="24" t="s">
        <v>13</v>
      </c>
      <c r="E48" s="24" t="s">
        <v>13</v>
      </c>
    </row>
    <row r="49" spans="1:5" ht="15.6" thickTop="1" thickBot="1" x14ac:dyDescent="0.35">
      <c r="A49" s="13">
        <v>8052300</v>
      </c>
      <c r="B49" s="6" t="s">
        <v>234</v>
      </c>
      <c r="C49" t="s">
        <v>13</v>
      </c>
      <c r="D49" s="24" t="s">
        <v>13</v>
      </c>
      <c r="E49" s="24" t="s">
        <v>13</v>
      </c>
    </row>
    <row r="50" spans="1:5" ht="15.6" thickTop="1" thickBot="1" x14ac:dyDescent="0.35">
      <c r="A50" s="13">
        <v>8047000</v>
      </c>
      <c r="B50" s="6" t="s">
        <v>217</v>
      </c>
      <c r="C50" t="s">
        <v>13</v>
      </c>
      <c r="D50" s="24" t="s">
        <v>13</v>
      </c>
      <c r="E50" s="24" t="s">
        <v>13</v>
      </c>
    </row>
    <row r="51" spans="1:5" ht="15.6" thickTop="1" thickBot="1" x14ac:dyDescent="0.35">
      <c r="A51" s="13">
        <v>8012600</v>
      </c>
      <c r="B51" s="6" t="s">
        <v>189</v>
      </c>
      <c r="C51" t="s">
        <v>13</v>
      </c>
      <c r="D51" s="24" t="s">
        <v>13</v>
      </c>
      <c r="E51" s="24" t="s">
        <v>13</v>
      </c>
    </row>
    <row r="52" spans="1:5" ht="15.6" thickTop="1" thickBot="1" x14ac:dyDescent="0.35">
      <c r="A52" s="13">
        <v>8057925</v>
      </c>
      <c r="B52" s="6" t="s">
        <v>151</v>
      </c>
      <c r="C52" t="s">
        <v>13</v>
      </c>
      <c r="D52" s="24" t="s">
        <v>13</v>
      </c>
      <c r="E52" s="24" t="s">
        <v>13</v>
      </c>
    </row>
    <row r="53" spans="1:5" ht="15.6" thickTop="1" thickBot="1" x14ac:dyDescent="0.35">
      <c r="A53" s="13">
        <v>9010710</v>
      </c>
      <c r="B53" s="6" t="s">
        <v>154</v>
      </c>
      <c r="C53" t="s">
        <v>13</v>
      </c>
      <c r="D53" s="24" t="s">
        <v>13</v>
      </c>
      <c r="E53" s="24" t="s">
        <v>13</v>
      </c>
    </row>
    <row r="54" spans="1:5" ht="15.6" thickTop="1" thickBot="1" x14ac:dyDescent="0.35">
      <c r="A54" s="13">
        <v>9010695</v>
      </c>
      <c r="B54" s="6" t="s">
        <v>257</v>
      </c>
      <c r="C54" t="s">
        <v>13</v>
      </c>
      <c r="D54" s="24" t="s">
        <v>13</v>
      </c>
      <c r="E54" s="24" t="s">
        <v>13</v>
      </c>
    </row>
    <row r="55" spans="1:5" ht="15.6" thickTop="1" thickBot="1" x14ac:dyDescent="0.35">
      <c r="A55" s="13">
        <v>9010690</v>
      </c>
      <c r="B55" s="6" t="s">
        <v>256</v>
      </c>
      <c r="C55" t="s">
        <v>13</v>
      </c>
      <c r="D55" s="24" t="s">
        <v>13</v>
      </c>
      <c r="E55" s="24" t="s">
        <v>13</v>
      </c>
    </row>
    <row r="56" spans="1:5" ht="15.6" thickTop="1" thickBot="1" x14ac:dyDescent="0.35">
      <c r="A56" s="13">
        <v>9010685</v>
      </c>
      <c r="B56" s="6" t="s">
        <v>255</v>
      </c>
      <c r="C56" t="s">
        <v>13</v>
      </c>
      <c r="D56" s="24" t="s">
        <v>13</v>
      </c>
      <c r="E56" s="24" t="s">
        <v>13</v>
      </c>
    </row>
    <row r="57" spans="1:5" ht="15.6" thickTop="1" thickBot="1" x14ac:dyDescent="0.35">
      <c r="A57" s="13">
        <v>8035000</v>
      </c>
      <c r="B57" s="6" t="s">
        <v>94</v>
      </c>
      <c r="C57" t="s">
        <v>13</v>
      </c>
      <c r="D57" s="24" t="s">
        <v>13</v>
      </c>
      <c r="E57" s="24" t="s">
        <v>13</v>
      </c>
    </row>
    <row r="58" spans="1:5" ht="15.6" thickTop="1" thickBot="1" x14ac:dyDescent="0.35">
      <c r="A58" s="13">
        <v>8026400</v>
      </c>
      <c r="B58" s="6" t="s">
        <v>74</v>
      </c>
      <c r="C58" t="s">
        <v>13</v>
      </c>
      <c r="D58" s="24" t="s">
        <v>13</v>
      </c>
      <c r="E58" s="24" t="s">
        <v>13</v>
      </c>
    </row>
    <row r="59" spans="1:5" ht="15.6" thickTop="1" thickBot="1" x14ac:dyDescent="0.35">
      <c r="A59" s="13">
        <v>8045500</v>
      </c>
      <c r="B59" s="6" t="s">
        <v>112</v>
      </c>
      <c r="C59" t="s">
        <v>13</v>
      </c>
      <c r="D59" s="24" t="s">
        <v>13</v>
      </c>
      <c r="E59" s="24" t="s">
        <v>13</v>
      </c>
    </row>
    <row r="60" spans="1:5" ht="15.6" thickTop="1" thickBot="1" x14ac:dyDescent="0.35">
      <c r="A60" s="13">
        <v>8052900</v>
      </c>
      <c r="B60" s="6" t="s">
        <v>236</v>
      </c>
      <c r="C60" t="s">
        <v>13</v>
      </c>
      <c r="D60" s="24" t="s">
        <v>13</v>
      </c>
      <c r="E60" s="24" t="s">
        <v>13</v>
      </c>
    </row>
    <row r="61" spans="1:5" ht="15.6" thickTop="1" thickBot="1" x14ac:dyDescent="0.35">
      <c r="A61" s="13">
        <v>8054000</v>
      </c>
      <c r="B61" s="6" t="s">
        <v>124</v>
      </c>
      <c r="C61" t="s">
        <v>13</v>
      </c>
      <c r="D61" s="24" t="s">
        <v>13</v>
      </c>
      <c r="E61" s="24" t="s">
        <v>13</v>
      </c>
    </row>
    <row r="62" spans="1:5" ht="15.6" thickTop="1" thickBot="1" x14ac:dyDescent="0.35">
      <c r="A62" s="13">
        <v>8053900</v>
      </c>
      <c r="B62" s="6" t="s">
        <v>123</v>
      </c>
      <c r="C62" t="s">
        <v>13</v>
      </c>
      <c r="D62" s="24" t="s">
        <v>13</v>
      </c>
      <c r="E62" s="24" t="s">
        <v>13</v>
      </c>
    </row>
    <row r="63" spans="1:5" ht="15.6" thickTop="1" thickBot="1" x14ac:dyDescent="0.35">
      <c r="A63" s="13">
        <v>8055850</v>
      </c>
      <c r="B63" s="6" t="s">
        <v>17</v>
      </c>
      <c r="C63" t="s">
        <v>13</v>
      </c>
      <c r="D63" s="24" t="s">
        <v>13</v>
      </c>
      <c r="E63" s="24" t="s">
        <v>13</v>
      </c>
    </row>
    <row r="64" spans="1:5" ht="15.6" thickTop="1" thickBot="1" x14ac:dyDescent="0.35">
      <c r="A64" s="13">
        <v>8056450</v>
      </c>
      <c r="B64" s="6" t="s">
        <v>7</v>
      </c>
      <c r="C64" t="s">
        <v>13</v>
      </c>
      <c r="D64" s="24" t="s">
        <v>13</v>
      </c>
      <c r="E64" s="24" t="s">
        <v>13</v>
      </c>
    </row>
    <row r="65" spans="1:5" ht="15.6" thickTop="1" thickBot="1" x14ac:dyDescent="0.35">
      <c r="A65" s="13">
        <v>8025300</v>
      </c>
      <c r="B65" s="6" t="s">
        <v>195</v>
      </c>
      <c r="C65" t="s">
        <v>13</v>
      </c>
      <c r="D65" s="24" t="s">
        <v>13</v>
      </c>
      <c r="E65" s="24" t="s">
        <v>13</v>
      </c>
    </row>
    <row r="66" spans="1:5" ht="15.6" thickTop="1" thickBot="1" x14ac:dyDescent="0.35">
      <c r="A66" s="13">
        <v>8045400</v>
      </c>
      <c r="B66" s="6" t="s">
        <v>216</v>
      </c>
      <c r="C66" t="s">
        <v>13</v>
      </c>
      <c r="D66" s="24" t="s">
        <v>13</v>
      </c>
      <c r="E66" s="24" t="s">
        <v>13</v>
      </c>
    </row>
    <row r="67" spans="1:5" ht="15.6" thickTop="1" thickBot="1" x14ac:dyDescent="0.35">
      <c r="A67" s="13">
        <v>8014800</v>
      </c>
      <c r="B67" s="6" t="s">
        <v>190</v>
      </c>
      <c r="C67" t="s">
        <v>13</v>
      </c>
      <c r="D67" s="24" t="s">
        <v>13</v>
      </c>
      <c r="E67" s="24" t="s">
        <v>13</v>
      </c>
    </row>
    <row r="68" spans="1:5" ht="15.6" thickTop="1" thickBot="1" x14ac:dyDescent="0.35">
      <c r="A68" s="13">
        <v>8033500</v>
      </c>
      <c r="B68" s="6" t="s">
        <v>203</v>
      </c>
      <c r="C68" t="s">
        <v>13</v>
      </c>
      <c r="D68" s="24" t="s">
        <v>13</v>
      </c>
      <c r="E68" s="24" t="s">
        <v>13</v>
      </c>
    </row>
    <row r="69" spans="1:5" ht="15.6" thickTop="1" thickBot="1" x14ac:dyDescent="0.35">
      <c r="A69" s="13">
        <v>8039800</v>
      </c>
      <c r="B69" s="6" t="s">
        <v>103</v>
      </c>
      <c r="C69" t="s">
        <v>13</v>
      </c>
      <c r="D69" s="24" t="s">
        <v>13</v>
      </c>
      <c r="E69" s="24" t="s">
        <v>13</v>
      </c>
    </row>
    <row r="70" spans="1:5" ht="15.6" thickTop="1" thickBot="1" x14ac:dyDescent="0.35">
      <c r="A70" s="13">
        <v>8016800</v>
      </c>
      <c r="B70" s="6" t="s">
        <v>49</v>
      </c>
      <c r="C70" t="s">
        <v>13</v>
      </c>
      <c r="D70" s="24" t="s">
        <v>13</v>
      </c>
      <c r="E70" s="24" t="s">
        <v>13</v>
      </c>
    </row>
    <row r="71" spans="1:5" ht="15.6" thickTop="1" thickBot="1" x14ac:dyDescent="0.35">
      <c r="A71" s="13">
        <v>8025700</v>
      </c>
      <c r="B71" s="6" t="s">
        <v>70</v>
      </c>
      <c r="C71" t="s">
        <v>13</v>
      </c>
      <c r="D71" s="24" t="s">
        <v>13</v>
      </c>
      <c r="E71" s="24" t="s">
        <v>13</v>
      </c>
    </row>
    <row r="72" spans="1:5" ht="15.6" thickTop="1" thickBot="1" x14ac:dyDescent="0.35">
      <c r="A72" s="13">
        <v>8032000</v>
      </c>
      <c r="B72" s="6" t="s">
        <v>198</v>
      </c>
      <c r="C72" t="s">
        <v>13</v>
      </c>
      <c r="D72" s="24" t="s">
        <v>13</v>
      </c>
      <c r="E72" s="24" t="s">
        <v>13</v>
      </c>
    </row>
    <row r="73" spans="1:5" ht="15.6" thickTop="1" thickBot="1" x14ac:dyDescent="0.35">
      <c r="A73" s="13">
        <v>8055100</v>
      </c>
      <c r="B73" s="6" t="s">
        <v>131</v>
      </c>
      <c r="C73" t="s">
        <v>13</v>
      </c>
      <c r="D73" s="24" t="s">
        <v>13</v>
      </c>
      <c r="E73" s="24" t="s">
        <v>13</v>
      </c>
    </row>
    <row r="74" spans="1:5" ht="15.6" thickTop="1" thickBot="1" x14ac:dyDescent="0.35">
      <c r="A74" s="13">
        <v>8057970</v>
      </c>
      <c r="B74" s="6" t="s">
        <v>246</v>
      </c>
      <c r="C74" t="s">
        <v>13</v>
      </c>
      <c r="D74" s="24" t="s">
        <v>13</v>
      </c>
      <c r="E74" s="24" t="s">
        <v>13</v>
      </c>
    </row>
    <row r="75" spans="1:5" ht="15.6" thickTop="1" thickBot="1" x14ac:dyDescent="0.35">
      <c r="A75" s="13">
        <v>8057965</v>
      </c>
      <c r="B75" s="6" t="s">
        <v>245</v>
      </c>
      <c r="C75" t="s">
        <v>13</v>
      </c>
      <c r="D75" s="24" t="s">
        <v>13</v>
      </c>
      <c r="E75" s="24" t="s">
        <v>13</v>
      </c>
    </row>
    <row r="76" spans="1:5" ht="15.6" thickTop="1" thickBot="1" x14ac:dyDescent="0.35">
      <c r="A76" s="13">
        <v>8055800</v>
      </c>
      <c r="B76" s="6" t="s">
        <v>239</v>
      </c>
      <c r="C76" t="s">
        <v>13</v>
      </c>
      <c r="D76" s="24" t="s">
        <v>13</v>
      </c>
      <c r="E76" s="24" t="s">
        <v>13</v>
      </c>
    </row>
    <row r="77" spans="1:5" ht="15.6" thickTop="1" thickBot="1" x14ac:dyDescent="0.35">
      <c r="A77" s="13">
        <v>8036600</v>
      </c>
      <c r="B77" s="6" t="s">
        <v>207</v>
      </c>
      <c r="C77" t="s">
        <v>13</v>
      </c>
      <c r="D77" s="24" t="s">
        <v>13</v>
      </c>
      <c r="E77" s="24" t="s">
        <v>13</v>
      </c>
    </row>
    <row r="78" spans="1:5" ht="15.6" thickTop="1" thickBot="1" x14ac:dyDescent="0.35">
      <c r="A78" s="13">
        <v>8017200</v>
      </c>
      <c r="B78" s="6" t="s">
        <v>191</v>
      </c>
      <c r="C78" t="s">
        <v>13</v>
      </c>
      <c r="D78" s="24" t="s">
        <v>13</v>
      </c>
      <c r="E78" s="24" t="s">
        <v>13</v>
      </c>
    </row>
    <row r="79" spans="1:5" ht="15.6" thickTop="1" thickBot="1" x14ac:dyDescent="0.35">
      <c r="A79" s="13">
        <v>8013200</v>
      </c>
      <c r="B79" s="6" t="s">
        <v>46</v>
      </c>
      <c r="C79" t="s">
        <v>13</v>
      </c>
      <c r="D79" s="24" t="s">
        <v>13</v>
      </c>
      <c r="E79" s="24" t="s">
        <v>13</v>
      </c>
    </row>
    <row r="80" spans="1:5" ht="15.6" thickTop="1" thickBot="1" x14ac:dyDescent="0.35">
      <c r="A80" s="13">
        <v>8031700</v>
      </c>
      <c r="B80" s="6" t="s">
        <v>87</v>
      </c>
      <c r="C80" t="s">
        <v>13</v>
      </c>
      <c r="D80" s="24" t="s">
        <v>13</v>
      </c>
      <c r="E80" s="24" t="s">
        <v>13</v>
      </c>
    </row>
    <row r="81" spans="1:5" ht="15.6" thickTop="1" thickBot="1" x14ac:dyDescent="0.35">
      <c r="A81" s="13">
        <v>8026800</v>
      </c>
      <c r="B81" s="6" t="s">
        <v>77</v>
      </c>
      <c r="C81" t="s">
        <v>13</v>
      </c>
      <c r="D81" s="24" t="s">
        <v>13</v>
      </c>
      <c r="E81" s="24" t="s">
        <v>13</v>
      </c>
    </row>
    <row r="82" spans="1:5" ht="15.6" thickTop="1" thickBot="1" x14ac:dyDescent="0.35">
      <c r="A82" s="13">
        <v>8025900</v>
      </c>
      <c r="B82" s="6" t="s">
        <v>71</v>
      </c>
      <c r="C82" t="s">
        <v>13</v>
      </c>
      <c r="D82" s="24" t="s">
        <v>13</v>
      </c>
      <c r="E82" s="24" t="s">
        <v>13</v>
      </c>
    </row>
    <row r="83" spans="1:5" ht="15.6" thickTop="1" thickBot="1" x14ac:dyDescent="0.35">
      <c r="A83" s="13">
        <v>8026000</v>
      </c>
      <c r="B83" s="6" t="s">
        <v>72</v>
      </c>
      <c r="C83" t="s">
        <v>13</v>
      </c>
      <c r="D83" s="24" t="s">
        <v>13</v>
      </c>
      <c r="E83" s="24" t="s">
        <v>13</v>
      </c>
    </row>
    <row r="84" spans="1:5" ht="15.6" thickTop="1" thickBot="1" x14ac:dyDescent="0.35">
      <c r="A84" s="13">
        <v>8026100</v>
      </c>
      <c r="B84" s="6" t="s">
        <v>73</v>
      </c>
      <c r="C84" t="s">
        <v>13</v>
      </c>
      <c r="D84" s="24" t="s">
        <v>13</v>
      </c>
      <c r="E84" s="24" t="s">
        <v>13</v>
      </c>
    </row>
    <row r="85" spans="1:5" ht="15.6" thickTop="1" thickBot="1" x14ac:dyDescent="0.35">
      <c r="A85" s="13">
        <v>8053600</v>
      </c>
      <c r="B85" s="6" t="s">
        <v>122</v>
      </c>
      <c r="C85" t="s">
        <v>13</v>
      </c>
      <c r="D85" s="24" t="s">
        <v>13</v>
      </c>
      <c r="E85" s="24" t="s">
        <v>13</v>
      </c>
    </row>
    <row r="86" spans="1:5" ht="15.6" thickTop="1" thickBot="1" x14ac:dyDescent="0.35">
      <c r="A86" s="13">
        <v>8026700</v>
      </c>
      <c r="B86" s="6" t="s">
        <v>76</v>
      </c>
      <c r="C86" t="s">
        <v>13</v>
      </c>
      <c r="D86" s="24" t="s">
        <v>13</v>
      </c>
      <c r="E86" s="24" t="s">
        <v>13</v>
      </c>
    </row>
    <row r="87" spans="1:5" ht="15.6" thickTop="1" thickBot="1" x14ac:dyDescent="0.35">
      <c r="A87" s="13">
        <v>8037000</v>
      </c>
      <c r="B87" s="6" t="s">
        <v>97</v>
      </c>
      <c r="C87" t="s">
        <v>13</v>
      </c>
      <c r="D87" s="24" t="s">
        <v>13</v>
      </c>
      <c r="E87" s="24" t="s">
        <v>13</v>
      </c>
    </row>
    <row r="88" spans="1:5" ht="15.6" thickTop="1" thickBot="1" x14ac:dyDescent="0.35">
      <c r="A88" s="13">
        <v>8042600</v>
      </c>
      <c r="B88" s="6" t="s">
        <v>215</v>
      </c>
      <c r="C88" t="s">
        <v>13</v>
      </c>
      <c r="D88" s="24" t="s">
        <v>13</v>
      </c>
      <c r="E88" s="24" t="s">
        <v>13</v>
      </c>
    </row>
    <row r="89" spans="1:5" ht="15.6" thickTop="1" thickBot="1" x14ac:dyDescent="0.35">
      <c r="A89" s="13">
        <v>8042700</v>
      </c>
      <c r="B89" s="6" t="s">
        <v>10</v>
      </c>
      <c r="C89" t="s">
        <v>13</v>
      </c>
      <c r="D89" s="24" t="s">
        <v>13</v>
      </c>
      <c r="E89" s="24" t="s">
        <v>13</v>
      </c>
    </row>
    <row r="90" spans="1:5" ht="15.6" thickTop="1" thickBot="1" x14ac:dyDescent="0.35">
      <c r="A90" s="13">
        <v>8026600</v>
      </c>
      <c r="B90" s="6" t="s">
        <v>75</v>
      </c>
      <c r="C90" t="s">
        <v>13</v>
      </c>
      <c r="D90" s="24" t="s">
        <v>13</v>
      </c>
      <c r="E90" s="24" t="s">
        <v>13</v>
      </c>
    </row>
    <row r="91" spans="1:5" ht="15.6" thickTop="1" thickBot="1" x14ac:dyDescent="0.35">
      <c r="A91" s="13">
        <v>8038300</v>
      </c>
      <c r="B91" s="6" t="s">
        <v>99</v>
      </c>
      <c r="C91" t="s">
        <v>13</v>
      </c>
      <c r="D91" s="24" t="s">
        <v>13</v>
      </c>
      <c r="E91" s="24" t="s">
        <v>13</v>
      </c>
    </row>
    <row r="92" spans="1:5" ht="15.6" thickTop="1" thickBot="1" x14ac:dyDescent="0.35">
      <c r="A92" s="13">
        <v>8026500</v>
      </c>
      <c r="B92" s="6" t="s">
        <v>18</v>
      </c>
      <c r="C92" t="s">
        <v>13</v>
      </c>
      <c r="D92" s="24" t="s">
        <v>13</v>
      </c>
      <c r="E92" s="24" t="s">
        <v>13</v>
      </c>
    </row>
    <row r="93" spans="1:5" ht="15.6" thickTop="1" thickBot="1" x14ac:dyDescent="0.35">
      <c r="A93" s="13">
        <v>8032700</v>
      </c>
      <c r="B93" s="6" t="s">
        <v>199</v>
      </c>
      <c r="C93" t="s">
        <v>13</v>
      </c>
      <c r="D93" s="24" t="s">
        <v>13</v>
      </c>
      <c r="E93" s="24" t="s">
        <v>13</v>
      </c>
    </row>
    <row r="94" spans="1:5" ht="15.6" thickTop="1" thickBot="1" x14ac:dyDescent="0.35">
      <c r="A94" s="13">
        <v>8006100</v>
      </c>
      <c r="B94" s="6" t="s">
        <v>36</v>
      </c>
      <c r="C94" t="s">
        <v>13</v>
      </c>
      <c r="D94" s="24" t="s">
        <v>13</v>
      </c>
      <c r="E94" s="24" t="s">
        <v>13</v>
      </c>
    </row>
    <row r="95" spans="1:5" ht="15.6" thickTop="1" thickBot="1" x14ac:dyDescent="0.35">
      <c r="A95" s="13">
        <v>8025400</v>
      </c>
      <c r="B95" s="6" t="s">
        <v>68</v>
      </c>
      <c r="C95" t="s">
        <v>13</v>
      </c>
      <c r="D95" s="24" t="s">
        <v>13</v>
      </c>
      <c r="E95" s="24" t="s">
        <v>13</v>
      </c>
    </row>
    <row r="96" spans="1:5" ht="15.6" thickTop="1" thickBot="1" x14ac:dyDescent="0.35">
      <c r="A96" s="13">
        <v>8022000</v>
      </c>
      <c r="B96" s="6" t="s">
        <v>60</v>
      </c>
      <c r="C96" t="s">
        <v>13</v>
      </c>
      <c r="D96" s="24" t="s">
        <v>13</v>
      </c>
      <c r="E96" s="24" t="s">
        <v>13</v>
      </c>
    </row>
    <row r="97" spans="1:5" ht="15.6" thickTop="1" thickBot="1" x14ac:dyDescent="0.35">
      <c r="A97" s="13">
        <v>8010200</v>
      </c>
      <c r="B97" s="6" t="s">
        <v>43</v>
      </c>
      <c r="C97" t="s">
        <v>13</v>
      </c>
      <c r="D97" s="24" t="s">
        <v>13</v>
      </c>
      <c r="E97" s="24" t="s">
        <v>13</v>
      </c>
    </row>
    <row r="98" spans="1:5" ht="15.6" thickTop="1" thickBot="1" x14ac:dyDescent="0.35">
      <c r="A98" s="13">
        <v>8054700</v>
      </c>
      <c r="B98" s="6" t="s">
        <v>127</v>
      </c>
      <c r="C98" t="s">
        <v>13</v>
      </c>
      <c r="D98" s="24" t="s">
        <v>13</v>
      </c>
      <c r="E98" s="24" t="s">
        <v>13</v>
      </c>
    </row>
    <row r="99" spans="1:5" ht="15.6" thickTop="1" thickBot="1" x14ac:dyDescent="0.35">
      <c r="A99" s="13">
        <v>8008800</v>
      </c>
      <c r="B99" s="6" t="s">
        <v>185</v>
      </c>
      <c r="C99" t="s">
        <v>13</v>
      </c>
      <c r="D99" s="24" t="s">
        <v>13</v>
      </c>
      <c r="E99" s="24" t="s">
        <v>13</v>
      </c>
    </row>
    <row r="100" spans="1:5" ht="15.6" thickTop="1" thickBot="1" x14ac:dyDescent="0.35">
      <c r="A100" s="13">
        <v>8009500</v>
      </c>
      <c r="B100" s="6" t="s">
        <v>186</v>
      </c>
      <c r="C100" t="s">
        <v>13</v>
      </c>
      <c r="D100" s="24" t="s">
        <v>13</v>
      </c>
      <c r="E100" s="24" t="s">
        <v>13</v>
      </c>
    </row>
    <row r="101" spans="1:5" ht="15.6" thickTop="1" thickBot="1" x14ac:dyDescent="0.35">
      <c r="A101" s="13">
        <v>8005700</v>
      </c>
      <c r="B101" s="6" t="s">
        <v>35</v>
      </c>
      <c r="C101" t="s">
        <v>13</v>
      </c>
      <c r="D101" s="24" t="s">
        <v>13</v>
      </c>
      <c r="E101" s="24" t="s">
        <v>13</v>
      </c>
    </row>
    <row r="102" spans="1:5" ht="15.6" thickTop="1" thickBot="1" x14ac:dyDescent="0.35">
      <c r="A102" s="13">
        <v>8007100</v>
      </c>
      <c r="B102" s="6" t="s">
        <v>184</v>
      </c>
      <c r="C102" t="s">
        <v>13</v>
      </c>
      <c r="D102" s="24" t="s">
        <v>13</v>
      </c>
      <c r="E102" s="24" t="s">
        <v>13</v>
      </c>
    </row>
    <row r="103" spans="1:5" ht="15.6" thickTop="1" thickBot="1" x14ac:dyDescent="0.35">
      <c r="A103" s="13">
        <v>8027600</v>
      </c>
      <c r="B103" s="6" t="s">
        <v>79</v>
      </c>
      <c r="C103" t="s">
        <v>13</v>
      </c>
      <c r="D103" s="24" t="s">
        <v>13</v>
      </c>
      <c r="E103" s="24" t="s">
        <v>13</v>
      </c>
    </row>
    <row r="104" spans="1:5" ht="15.6" thickTop="1" thickBot="1" x14ac:dyDescent="0.35">
      <c r="A104" s="13">
        <v>8054100</v>
      </c>
      <c r="B104" s="6" t="s">
        <v>237</v>
      </c>
      <c r="C104" t="s">
        <v>13</v>
      </c>
      <c r="D104" s="24" t="s">
        <v>13</v>
      </c>
      <c r="E104" s="24" t="s">
        <v>13</v>
      </c>
    </row>
    <row r="105" spans="1:5" ht="15.6" thickTop="1" thickBot="1" x14ac:dyDescent="0.35">
      <c r="A105" s="13">
        <v>8051500</v>
      </c>
      <c r="B105" s="6" t="s">
        <v>230</v>
      </c>
      <c r="C105" t="s">
        <v>13</v>
      </c>
      <c r="D105" s="24" t="s">
        <v>13</v>
      </c>
      <c r="E105" s="24" t="s">
        <v>13</v>
      </c>
    </row>
    <row r="106" spans="1:5" ht="15.6" thickTop="1" thickBot="1" x14ac:dyDescent="0.35">
      <c r="A106" s="13">
        <v>8049800</v>
      </c>
      <c r="B106" s="6" t="s">
        <v>117</v>
      </c>
      <c r="C106" t="s">
        <v>13</v>
      </c>
      <c r="D106" s="24" t="s">
        <v>13</v>
      </c>
      <c r="E106" s="24" t="s">
        <v>13</v>
      </c>
    </row>
    <row r="107" spans="1:5" ht="15.6" thickTop="1" thickBot="1" x14ac:dyDescent="0.35">
      <c r="A107" s="13">
        <v>8054400</v>
      </c>
      <c r="B107" s="6" t="s">
        <v>125</v>
      </c>
      <c r="C107" t="s">
        <v>13</v>
      </c>
      <c r="D107" s="24" t="s">
        <v>13</v>
      </c>
      <c r="E107" s="24" t="s">
        <v>13</v>
      </c>
    </row>
    <row r="108" spans="1:5" ht="15.6" thickTop="1" thickBot="1" x14ac:dyDescent="0.35">
      <c r="A108" s="13">
        <v>8033150</v>
      </c>
      <c r="B108" s="6" t="s">
        <v>200</v>
      </c>
      <c r="C108" t="s">
        <v>13</v>
      </c>
      <c r="D108" s="24" t="s">
        <v>13</v>
      </c>
      <c r="E108" s="24" t="s">
        <v>13</v>
      </c>
    </row>
    <row r="109" spans="1:5" ht="15.6" thickTop="1" thickBot="1" x14ac:dyDescent="0.35">
      <c r="A109" s="13">
        <v>8039900</v>
      </c>
      <c r="B109" s="6" t="s">
        <v>213</v>
      </c>
      <c r="C109" t="s">
        <v>13</v>
      </c>
      <c r="D109" s="24" t="s">
        <v>13</v>
      </c>
      <c r="E109" s="24" t="s">
        <v>13</v>
      </c>
    </row>
    <row r="110" spans="1:5" ht="15.6" thickTop="1" thickBot="1" x14ac:dyDescent="0.35">
      <c r="A110" s="13">
        <v>8030800</v>
      </c>
      <c r="B110" s="6" t="s">
        <v>197</v>
      </c>
      <c r="C110" t="s">
        <v>13</v>
      </c>
      <c r="D110" s="24" t="s">
        <v>13</v>
      </c>
      <c r="E110" s="24" t="s">
        <v>13</v>
      </c>
    </row>
    <row r="111" spans="1:5" ht="15.6" thickTop="1" thickBot="1" x14ac:dyDescent="0.35">
      <c r="A111" s="13">
        <v>8028100</v>
      </c>
      <c r="B111" s="6" t="s">
        <v>80</v>
      </c>
      <c r="C111" t="s">
        <v>13</v>
      </c>
      <c r="D111" s="24" t="s">
        <v>13</v>
      </c>
      <c r="E111" s="24" t="s">
        <v>13</v>
      </c>
    </row>
    <row r="112" spans="1:5" ht="15.6" thickTop="1" thickBot="1" x14ac:dyDescent="0.35">
      <c r="A112" s="13">
        <v>8054900</v>
      </c>
      <c r="B112" s="6" t="s">
        <v>129</v>
      </c>
      <c r="C112" t="s">
        <v>13</v>
      </c>
      <c r="D112" s="24" t="s">
        <v>13</v>
      </c>
      <c r="E112" s="24" t="s">
        <v>13</v>
      </c>
    </row>
    <row r="113" spans="1:5" ht="15.6" thickTop="1" thickBot="1" x14ac:dyDescent="0.35">
      <c r="A113" s="13">
        <v>8023900</v>
      </c>
      <c r="B113" s="6" t="s">
        <v>19</v>
      </c>
      <c r="C113" t="s">
        <v>13</v>
      </c>
      <c r="D113" s="24" t="s">
        <v>13</v>
      </c>
      <c r="E113" s="24" t="s">
        <v>13</v>
      </c>
    </row>
    <row r="114" spans="1:5" ht="15.6" thickTop="1" thickBot="1" x14ac:dyDescent="0.35">
      <c r="A114" s="13">
        <v>8023100</v>
      </c>
      <c r="B114" s="6" t="s">
        <v>63</v>
      </c>
      <c r="C114" t="s">
        <v>13</v>
      </c>
      <c r="D114" s="24" t="s">
        <v>13</v>
      </c>
      <c r="E114" s="24" t="s">
        <v>13</v>
      </c>
    </row>
    <row r="115" spans="1:5" ht="15.6" thickTop="1" thickBot="1" x14ac:dyDescent="0.35">
      <c r="A115" s="13">
        <v>8002100</v>
      </c>
      <c r="B115" s="6" t="s">
        <v>180</v>
      </c>
      <c r="C115" t="s">
        <v>13</v>
      </c>
      <c r="D115" s="24" t="s">
        <v>13</v>
      </c>
      <c r="E115" s="24" t="s">
        <v>13</v>
      </c>
    </row>
    <row r="116" spans="1:5" ht="15.6" thickTop="1" thickBot="1" x14ac:dyDescent="0.35">
      <c r="A116" s="13">
        <v>8002000</v>
      </c>
      <c r="B116" s="6" t="s">
        <v>179</v>
      </c>
      <c r="C116" t="s">
        <v>13</v>
      </c>
      <c r="D116" s="24" t="s">
        <v>13</v>
      </c>
      <c r="E116" s="24" t="s">
        <v>13</v>
      </c>
    </row>
    <row r="117" spans="1:5" ht="15.6" thickTop="1" thickBot="1" x14ac:dyDescent="0.35">
      <c r="A117" s="13">
        <v>8018200</v>
      </c>
      <c r="B117" s="6" t="s">
        <v>53</v>
      </c>
      <c r="C117" t="s">
        <v>13</v>
      </c>
      <c r="D117" s="24" t="s">
        <v>13</v>
      </c>
      <c r="E117" s="24" t="s">
        <v>13</v>
      </c>
    </row>
    <row r="118" spans="1:5" ht="15.6" thickTop="1" thickBot="1" x14ac:dyDescent="0.35">
      <c r="A118" s="13">
        <v>8056200</v>
      </c>
      <c r="B118" s="6" t="s">
        <v>136</v>
      </c>
      <c r="C118" t="s">
        <v>13</v>
      </c>
      <c r="D118" s="24" t="s">
        <v>13</v>
      </c>
      <c r="E118" s="24" t="s">
        <v>13</v>
      </c>
    </row>
    <row r="119" spans="1:5" ht="15.6" thickTop="1" thickBot="1" x14ac:dyDescent="0.35">
      <c r="A119" s="13">
        <v>8050600</v>
      </c>
      <c r="B119" s="6" t="s">
        <v>227</v>
      </c>
      <c r="C119" t="s">
        <v>13</v>
      </c>
      <c r="D119" s="24" t="s">
        <v>13</v>
      </c>
      <c r="E119" s="24" t="s">
        <v>13</v>
      </c>
    </row>
    <row r="120" spans="1:5" ht="15.6" thickTop="1" thickBot="1" x14ac:dyDescent="0.35">
      <c r="A120" s="13">
        <v>9010720</v>
      </c>
      <c r="B120" s="6" t="s">
        <v>258</v>
      </c>
      <c r="C120" t="s">
        <v>13</v>
      </c>
      <c r="D120" s="24" t="s">
        <v>13</v>
      </c>
      <c r="E120" s="24" t="s">
        <v>13</v>
      </c>
    </row>
    <row r="121" spans="1:5" ht="15.6" thickTop="1" thickBot="1" x14ac:dyDescent="0.35">
      <c r="A121" s="13">
        <v>8057150</v>
      </c>
      <c r="B121" s="6" t="s">
        <v>140</v>
      </c>
      <c r="C121" t="s">
        <v>13</v>
      </c>
      <c r="D121" s="24" t="s">
        <v>13</v>
      </c>
      <c r="E121" s="24" t="s">
        <v>13</v>
      </c>
    </row>
    <row r="122" spans="1:5" ht="15.6" thickTop="1" thickBot="1" x14ac:dyDescent="0.35">
      <c r="A122" s="13">
        <v>8057100</v>
      </c>
      <c r="B122" s="6" t="s">
        <v>139</v>
      </c>
      <c r="C122" t="s">
        <v>13</v>
      </c>
      <c r="D122" s="24" t="s">
        <v>13</v>
      </c>
      <c r="E122" s="24" t="s">
        <v>13</v>
      </c>
    </row>
    <row r="123" spans="1:5" ht="15.6" thickTop="1" thickBot="1" x14ac:dyDescent="0.35">
      <c r="A123" s="13">
        <v>8054800</v>
      </c>
      <c r="B123" s="6" t="s">
        <v>128</v>
      </c>
      <c r="C123" t="s">
        <v>13</v>
      </c>
      <c r="D123" s="24" t="s">
        <v>13</v>
      </c>
      <c r="E123" s="24" t="s">
        <v>13</v>
      </c>
    </row>
    <row r="124" spans="1:5" ht="15.6" thickTop="1" thickBot="1" x14ac:dyDescent="0.35">
      <c r="A124" s="13">
        <v>8055900</v>
      </c>
      <c r="B124" s="6" t="s">
        <v>134</v>
      </c>
      <c r="C124" t="s">
        <v>13</v>
      </c>
      <c r="D124" s="24" t="s">
        <v>13</v>
      </c>
      <c r="E124" s="24" t="s">
        <v>13</v>
      </c>
    </row>
    <row r="125" spans="1:5" ht="15.6" thickTop="1" thickBot="1" x14ac:dyDescent="0.35">
      <c r="A125" s="13">
        <v>8015400</v>
      </c>
      <c r="B125" s="6" t="s">
        <v>47</v>
      </c>
      <c r="C125" t="s">
        <v>13</v>
      </c>
      <c r="D125" s="24" t="s">
        <v>13</v>
      </c>
      <c r="E125" s="24" t="s">
        <v>13</v>
      </c>
    </row>
    <row r="126" spans="1:5" ht="15.6" thickTop="1" thickBot="1" x14ac:dyDescent="0.35">
      <c r="A126" s="13">
        <v>8047700</v>
      </c>
      <c r="B126" s="6" t="s">
        <v>114</v>
      </c>
      <c r="C126" t="s">
        <v>13</v>
      </c>
      <c r="D126" s="24" t="s">
        <v>13</v>
      </c>
      <c r="E126" s="24" t="s">
        <v>13</v>
      </c>
    </row>
    <row r="127" spans="1:5" ht="15.6" thickTop="1" thickBot="1" x14ac:dyDescent="0.35">
      <c r="A127" s="13">
        <v>8009700</v>
      </c>
      <c r="B127" s="6" t="s">
        <v>42</v>
      </c>
      <c r="C127" t="s">
        <v>13</v>
      </c>
      <c r="D127" s="24" t="s">
        <v>13</v>
      </c>
      <c r="E127" s="24" t="s">
        <v>13</v>
      </c>
    </row>
    <row r="128" spans="1:5" ht="15.6" thickTop="1" thickBot="1" x14ac:dyDescent="0.35">
      <c r="A128" s="13">
        <v>8004400</v>
      </c>
      <c r="B128" s="6" t="s">
        <v>32</v>
      </c>
      <c r="C128" t="s">
        <v>13</v>
      </c>
      <c r="D128" s="24" t="s">
        <v>13</v>
      </c>
      <c r="E128" s="24" t="s">
        <v>13</v>
      </c>
    </row>
    <row r="129" spans="1:5" ht="15.6" thickTop="1" thickBot="1" x14ac:dyDescent="0.35">
      <c r="A129" s="13">
        <v>8055000</v>
      </c>
      <c r="B129" s="6" t="s">
        <v>130</v>
      </c>
      <c r="C129" t="s">
        <v>13</v>
      </c>
      <c r="D129" s="24" t="s">
        <v>13</v>
      </c>
      <c r="E129" s="24" t="s">
        <v>13</v>
      </c>
    </row>
    <row r="130" spans="1:5" ht="15.6" thickTop="1" thickBot="1" x14ac:dyDescent="0.35">
      <c r="A130" s="13">
        <v>8043600</v>
      </c>
      <c r="B130" s="6" t="s">
        <v>109</v>
      </c>
      <c r="C130" t="s">
        <v>13</v>
      </c>
      <c r="D130" s="24" t="s">
        <v>13</v>
      </c>
      <c r="E130" s="24" t="s">
        <v>13</v>
      </c>
    </row>
    <row r="131" spans="1:5" ht="15.6" thickTop="1" thickBot="1" x14ac:dyDescent="0.35">
      <c r="A131" s="13">
        <v>8003000</v>
      </c>
      <c r="B131" s="6" t="s">
        <v>182</v>
      </c>
      <c r="C131" t="s">
        <v>13</v>
      </c>
      <c r="D131" s="24" t="s">
        <v>13</v>
      </c>
      <c r="E131" s="24" t="s">
        <v>13</v>
      </c>
    </row>
    <row r="132" spans="1:5" ht="15.6" thickTop="1" thickBot="1" x14ac:dyDescent="0.35">
      <c r="A132" s="13">
        <v>8017000</v>
      </c>
      <c r="B132" s="6" t="s">
        <v>50</v>
      </c>
      <c r="C132" t="s">
        <v>13</v>
      </c>
      <c r="D132" s="24" t="s">
        <v>13</v>
      </c>
      <c r="E132" s="24" t="s">
        <v>13</v>
      </c>
    </row>
    <row r="133" spans="1:5" ht="15.6" thickTop="1" thickBot="1" x14ac:dyDescent="0.35">
      <c r="A133" s="13">
        <v>8019100</v>
      </c>
      <c r="B133" s="6" t="s">
        <v>55</v>
      </c>
      <c r="C133" t="s">
        <v>13</v>
      </c>
      <c r="D133" s="24" t="s">
        <v>13</v>
      </c>
      <c r="E133" s="24" t="s">
        <v>13</v>
      </c>
    </row>
    <row r="134" spans="1:5" ht="15.6" thickTop="1" thickBot="1" x14ac:dyDescent="0.35">
      <c r="A134" s="13">
        <v>8009900</v>
      </c>
      <c r="B134" s="6" t="s">
        <v>187</v>
      </c>
      <c r="C134" t="s">
        <v>13</v>
      </c>
      <c r="D134" s="24" t="s">
        <v>13</v>
      </c>
      <c r="E134" s="24" t="s">
        <v>13</v>
      </c>
    </row>
    <row r="135" spans="1:5" ht="15.6" thickTop="1" thickBot="1" x14ac:dyDescent="0.35">
      <c r="A135" s="13">
        <v>8007200</v>
      </c>
      <c r="B135" s="6" t="s">
        <v>37</v>
      </c>
      <c r="C135" t="s">
        <v>13</v>
      </c>
      <c r="D135" s="24" t="s">
        <v>13</v>
      </c>
      <c r="E135" s="24" t="s">
        <v>13</v>
      </c>
    </row>
    <row r="136" spans="1:5" ht="15.6" thickTop="1" thickBot="1" x14ac:dyDescent="0.35">
      <c r="A136" s="13">
        <v>8049500</v>
      </c>
      <c r="B136" s="6" t="s">
        <v>225</v>
      </c>
      <c r="C136" t="s">
        <v>13</v>
      </c>
      <c r="D136" s="24" t="s">
        <v>13</v>
      </c>
      <c r="E136" s="24" t="s">
        <v>13</v>
      </c>
    </row>
    <row r="137" spans="1:5" ht="15.6" thickTop="1" thickBot="1" x14ac:dyDescent="0.35">
      <c r="A137" s="13">
        <v>8048800</v>
      </c>
      <c r="B137" s="6" t="s">
        <v>222</v>
      </c>
      <c r="C137" t="s">
        <v>13</v>
      </c>
      <c r="D137" s="24" t="s">
        <v>13</v>
      </c>
      <c r="E137" s="24" t="s">
        <v>13</v>
      </c>
    </row>
    <row r="138" spans="1:5" ht="15.6" thickTop="1" thickBot="1" x14ac:dyDescent="0.35">
      <c r="A138" s="13">
        <v>8048100</v>
      </c>
      <c r="B138" s="6" t="s">
        <v>218</v>
      </c>
      <c r="C138" t="s">
        <v>13</v>
      </c>
      <c r="D138" s="24" t="s">
        <v>13</v>
      </c>
      <c r="E138" s="24" t="s">
        <v>13</v>
      </c>
    </row>
    <row r="139" spans="1:5" ht="15.6" thickTop="1" thickBot="1" x14ac:dyDescent="0.35">
      <c r="A139" s="13">
        <v>8049700</v>
      </c>
      <c r="B139" s="6" t="s">
        <v>226</v>
      </c>
      <c r="C139" t="s">
        <v>13</v>
      </c>
      <c r="D139" s="24" t="s">
        <v>13</v>
      </c>
      <c r="E139" s="24" t="s">
        <v>13</v>
      </c>
    </row>
    <row r="140" spans="1:5" ht="15.6" thickTop="1" thickBot="1" x14ac:dyDescent="0.35">
      <c r="A140" s="13">
        <v>8049400</v>
      </c>
      <c r="B140" s="6" t="s">
        <v>224</v>
      </c>
      <c r="C140" t="s">
        <v>13</v>
      </c>
      <c r="D140" s="24" t="s">
        <v>13</v>
      </c>
      <c r="E140" s="24" t="s">
        <v>13</v>
      </c>
    </row>
    <row r="141" spans="1:5" ht="15.6" thickTop="1" thickBot="1" x14ac:dyDescent="0.35">
      <c r="A141" s="13">
        <v>8038100</v>
      </c>
      <c r="B141" s="6" t="s">
        <v>212</v>
      </c>
      <c r="C141" t="s">
        <v>13</v>
      </c>
      <c r="D141" s="24" t="s">
        <v>13</v>
      </c>
      <c r="E141" s="24" t="s">
        <v>13</v>
      </c>
    </row>
    <row r="142" spans="1:5" ht="15.6" thickTop="1" thickBot="1" x14ac:dyDescent="0.35">
      <c r="A142" s="13">
        <v>8050900</v>
      </c>
      <c r="B142" s="6" t="s">
        <v>228</v>
      </c>
      <c r="C142" t="s">
        <v>13</v>
      </c>
      <c r="D142" s="24" t="s">
        <v>13</v>
      </c>
      <c r="E142" s="24" t="s">
        <v>13</v>
      </c>
    </row>
    <row r="143" spans="1:5" ht="15.6" thickTop="1" thickBot="1" x14ac:dyDescent="0.35">
      <c r="A143" s="13">
        <v>8057700</v>
      </c>
      <c r="B143" s="6" t="s">
        <v>240</v>
      </c>
      <c r="C143" t="s">
        <v>13</v>
      </c>
      <c r="D143" s="24" t="s">
        <v>13</v>
      </c>
      <c r="E143" s="24" t="s">
        <v>13</v>
      </c>
    </row>
    <row r="144" spans="1:5" ht="15.6" thickTop="1" thickBot="1" x14ac:dyDescent="0.35">
      <c r="A144" s="13">
        <v>8004800</v>
      </c>
      <c r="B144" s="6" t="s">
        <v>33</v>
      </c>
      <c r="C144" t="s">
        <v>13</v>
      </c>
      <c r="D144" s="24" t="s">
        <v>13</v>
      </c>
      <c r="E144" s="24" t="s">
        <v>13</v>
      </c>
    </row>
    <row r="145" spans="1:22" ht="15.6" thickTop="1" thickBot="1" x14ac:dyDescent="0.35">
      <c r="A145" s="13">
        <v>8020600</v>
      </c>
      <c r="B145" s="6" t="s">
        <v>57</v>
      </c>
      <c r="C145" t="s">
        <v>13</v>
      </c>
      <c r="D145" s="24" t="s">
        <v>13</v>
      </c>
      <c r="E145" s="24" t="s">
        <v>13</v>
      </c>
    </row>
    <row r="146" spans="1:22" ht="15.6" thickTop="1" thickBot="1" x14ac:dyDescent="0.35">
      <c r="A146" s="13">
        <v>8042500</v>
      </c>
      <c r="B146" s="6" t="s">
        <v>107</v>
      </c>
      <c r="C146" t="s">
        <v>13</v>
      </c>
      <c r="D146" s="24" t="s">
        <v>13</v>
      </c>
      <c r="E146" s="24" t="s">
        <v>13</v>
      </c>
    </row>
    <row r="147" spans="1:22" ht="15.6" thickTop="1" thickBot="1" x14ac:dyDescent="0.35">
      <c r="A147" s="13">
        <v>8028800</v>
      </c>
      <c r="B147" s="6" t="s">
        <v>82</v>
      </c>
      <c r="C147" t="s">
        <v>13</v>
      </c>
      <c r="D147" s="24" t="s">
        <v>13</v>
      </c>
      <c r="E147" s="24" t="s">
        <v>13</v>
      </c>
    </row>
    <row r="148" spans="1:22" ht="15.6" thickTop="1" thickBot="1" x14ac:dyDescent="0.35">
      <c r="A148" s="13">
        <v>8023800</v>
      </c>
      <c r="B148" s="6" t="s">
        <v>64</v>
      </c>
      <c r="C148" t="s">
        <v>13</v>
      </c>
      <c r="D148" s="24" t="s">
        <v>13</v>
      </c>
      <c r="E148" s="24" t="s">
        <v>13</v>
      </c>
    </row>
    <row r="149" spans="1:22" ht="15.6" thickTop="1" thickBot="1" x14ac:dyDescent="0.35">
      <c r="A149" s="13">
        <v>8052800</v>
      </c>
      <c r="B149" s="6" t="s">
        <v>235</v>
      </c>
      <c r="C149" t="s">
        <v>13</v>
      </c>
      <c r="D149" s="24" t="s">
        <v>13</v>
      </c>
      <c r="E149" s="24" t="s">
        <v>13</v>
      </c>
    </row>
    <row r="150" spans="1:22" ht="15.6" thickTop="1" thickBot="1" x14ac:dyDescent="0.35">
      <c r="A150" s="13">
        <v>8001200</v>
      </c>
      <c r="B150" s="6" t="s">
        <v>3</v>
      </c>
      <c r="C150" t="s">
        <v>13</v>
      </c>
      <c r="D150" s="24" t="s">
        <v>13</v>
      </c>
      <c r="E150" s="24" t="s">
        <v>13</v>
      </c>
    </row>
    <row r="151" spans="1:22" ht="15.6" thickTop="1" thickBot="1" x14ac:dyDescent="0.35">
      <c r="A151" s="13">
        <v>8005400</v>
      </c>
      <c r="B151" s="6" t="s">
        <v>20</v>
      </c>
      <c r="C151" t="s">
        <v>498</v>
      </c>
      <c r="D151" s="23">
        <v>45385</v>
      </c>
      <c r="E151" t="s">
        <v>177</v>
      </c>
      <c r="F151" s="11">
        <v>-0.20569620253164558</v>
      </c>
      <c r="G151" s="11">
        <v>-0.40837696335078533</v>
      </c>
      <c r="H151" s="11">
        <v>-4.133545310015898E-2</v>
      </c>
      <c r="I151" s="11">
        <v>0</v>
      </c>
      <c r="J151" s="11">
        <v>0</v>
      </c>
      <c r="K151" s="11">
        <v>-0.4</v>
      </c>
      <c r="L151" s="11">
        <v>-0.4157706093189964</v>
      </c>
      <c r="M151" s="11">
        <v>0</v>
      </c>
      <c r="N151" s="11">
        <v>0</v>
      </c>
      <c r="O151" s="11">
        <v>-4.2553191489361701E-2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</row>
    <row r="152" spans="1:22" ht="15.6" thickTop="1" thickBot="1" x14ac:dyDescent="0.35">
      <c r="A152" s="13">
        <v>8045200</v>
      </c>
      <c r="B152" s="6" t="s">
        <v>111</v>
      </c>
      <c r="C152" t="s">
        <v>13</v>
      </c>
      <c r="D152" s="24" t="s">
        <v>13</v>
      </c>
      <c r="E152" s="24" t="s">
        <v>13</v>
      </c>
    </row>
    <row r="153" spans="1:22" ht="15.6" thickTop="1" thickBot="1" x14ac:dyDescent="0.35">
      <c r="A153" s="13">
        <v>8001100</v>
      </c>
      <c r="B153" s="6" t="s">
        <v>21</v>
      </c>
      <c r="C153" t="s">
        <v>13</v>
      </c>
      <c r="D153" s="24" t="s">
        <v>13</v>
      </c>
      <c r="E153" s="24" t="s">
        <v>13</v>
      </c>
    </row>
    <row r="154" spans="1:22" ht="15.6" thickTop="1" thickBot="1" x14ac:dyDescent="0.35">
      <c r="A154" s="13">
        <v>8001000</v>
      </c>
      <c r="B154" s="6" t="s">
        <v>22</v>
      </c>
      <c r="C154" t="s">
        <v>13</v>
      </c>
      <c r="D154" s="24" t="s">
        <v>13</v>
      </c>
      <c r="E154" s="24" t="s">
        <v>13</v>
      </c>
      <c r="H154"/>
      <c r="I154"/>
      <c r="J154"/>
      <c r="N154"/>
      <c r="O154"/>
      <c r="P154"/>
      <c r="Q154"/>
      <c r="R154"/>
      <c r="S154"/>
      <c r="T154"/>
      <c r="U154"/>
      <c r="V154"/>
    </row>
    <row r="155" spans="1:22" ht="15.6" thickTop="1" thickBot="1" x14ac:dyDescent="0.35">
      <c r="A155" s="13">
        <v>8019700</v>
      </c>
      <c r="B155" s="6" t="s">
        <v>56</v>
      </c>
      <c r="C155" t="s">
        <v>13</v>
      </c>
      <c r="D155" s="24" t="s">
        <v>13</v>
      </c>
      <c r="E155" s="24" t="s">
        <v>13</v>
      </c>
    </row>
    <row r="156" spans="1:22" ht="15.6" thickTop="1" thickBot="1" x14ac:dyDescent="0.35">
      <c r="A156" s="13">
        <v>8003600</v>
      </c>
      <c r="B156" s="6" t="s">
        <v>183</v>
      </c>
      <c r="C156" t="s">
        <v>13</v>
      </c>
      <c r="D156" s="24" t="s">
        <v>13</v>
      </c>
      <c r="E156" s="24" t="s">
        <v>13</v>
      </c>
    </row>
    <row r="157" spans="1:22" ht="15.6" thickTop="1" thickBot="1" x14ac:dyDescent="0.35">
      <c r="A157" s="13">
        <v>8018900</v>
      </c>
      <c r="B157" s="6" t="s">
        <v>54</v>
      </c>
      <c r="C157" t="s">
        <v>13</v>
      </c>
      <c r="D157" s="24" t="s">
        <v>13</v>
      </c>
      <c r="E157" s="24" t="s">
        <v>13</v>
      </c>
    </row>
    <row r="158" spans="1:22" ht="15.6" thickTop="1" thickBot="1" x14ac:dyDescent="0.35">
      <c r="A158" s="13">
        <v>8013000</v>
      </c>
      <c r="B158" s="6" t="s">
        <v>45</v>
      </c>
      <c r="C158" t="s">
        <v>13</v>
      </c>
      <c r="D158" s="24" t="s">
        <v>13</v>
      </c>
      <c r="E158" s="24" t="s">
        <v>13</v>
      </c>
    </row>
    <row r="159" spans="1:22" ht="15.6" thickTop="1" thickBot="1" x14ac:dyDescent="0.35">
      <c r="A159" s="13">
        <v>8021900</v>
      </c>
      <c r="B159" s="6" t="s">
        <v>59</v>
      </c>
      <c r="C159" t="s">
        <v>13</v>
      </c>
      <c r="D159" s="24" t="s">
        <v>13</v>
      </c>
      <c r="E159" s="24" t="s">
        <v>13</v>
      </c>
    </row>
    <row r="160" spans="1:22" ht="15.6" thickTop="1" thickBot="1" x14ac:dyDescent="0.35">
      <c r="A160" s="13">
        <v>8007400</v>
      </c>
      <c r="B160" s="6" t="s">
        <v>38</v>
      </c>
      <c r="C160" t="s">
        <v>13</v>
      </c>
      <c r="D160" s="24" t="s">
        <v>13</v>
      </c>
      <c r="E160" s="24" t="s">
        <v>13</v>
      </c>
    </row>
    <row r="161" spans="1:5" ht="15.6" thickTop="1" thickBot="1" x14ac:dyDescent="0.35">
      <c r="A161" s="13">
        <v>8003900</v>
      </c>
      <c r="B161" s="6" t="s">
        <v>30</v>
      </c>
      <c r="C161" t="s">
        <v>13</v>
      </c>
      <c r="D161" s="24" t="s">
        <v>13</v>
      </c>
      <c r="E161" s="24" t="s">
        <v>13</v>
      </c>
    </row>
    <row r="162" spans="1:5" ht="15.6" thickTop="1" thickBot="1" x14ac:dyDescent="0.35">
      <c r="A162" s="13">
        <v>8004000</v>
      </c>
      <c r="B162" s="6" t="s">
        <v>31</v>
      </c>
      <c r="C162" t="s">
        <v>13</v>
      </c>
      <c r="D162" s="24" t="s">
        <v>13</v>
      </c>
      <c r="E162" s="24" t="s">
        <v>13</v>
      </c>
    </row>
    <row r="163" spans="1:5" ht="15.6" thickTop="1" thickBot="1" x14ac:dyDescent="0.35">
      <c r="A163" s="13">
        <v>8028500</v>
      </c>
      <c r="B163" s="6" t="s">
        <v>81</v>
      </c>
      <c r="C163" t="s">
        <v>13</v>
      </c>
      <c r="D163" s="24" t="s">
        <v>13</v>
      </c>
      <c r="E163" s="24" t="s">
        <v>13</v>
      </c>
    </row>
    <row r="164" spans="1:5" ht="15.6" thickTop="1" thickBot="1" x14ac:dyDescent="0.35">
      <c r="A164" s="13">
        <v>8023600</v>
      </c>
      <c r="B164" s="6" t="s">
        <v>193</v>
      </c>
      <c r="C164" t="s">
        <v>13</v>
      </c>
      <c r="D164" s="24" t="s">
        <v>13</v>
      </c>
      <c r="E164" s="24" t="s">
        <v>13</v>
      </c>
    </row>
    <row r="165" spans="1:5" ht="15.6" thickTop="1" thickBot="1" x14ac:dyDescent="0.35">
      <c r="A165" s="13">
        <v>8003100</v>
      </c>
      <c r="B165" s="6" t="s">
        <v>29</v>
      </c>
      <c r="C165" t="s">
        <v>13</v>
      </c>
      <c r="D165" s="24" t="s">
        <v>13</v>
      </c>
      <c r="E165" s="24" t="s">
        <v>13</v>
      </c>
    </row>
    <row r="166" spans="1:5" ht="15.6" thickTop="1" thickBot="1" x14ac:dyDescent="0.35">
      <c r="A166" s="13">
        <v>8007600</v>
      </c>
      <c r="B166" s="6" t="s">
        <v>39</v>
      </c>
      <c r="C166" t="s">
        <v>13</v>
      </c>
      <c r="D166" s="24" t="s">
        <v>13</v>
      </c>
      <c r="E166" s="24" t="s">
        <v>13</v>
      </c>
    </row>
    <row r="167" spans="1:5" ht="15.6" thickTop="1" thickBot="1" x14ac:dyDescent="0.35">
      <c r="A167" s="13">
        <v>8048900</v>
      </c>
      <c r="B167" s="6" t="s">
        <v>115</v>
      </c>
      <c r="C167" t="s">
        <v>13</v>
      </c>
      <c r="D167" s="24" t="s">
        <v>13</v>
      </c>
      <c r="E167" s="24" t="s">
        <v>13</v>
      </c>
    </row>
    <row r="168" spans="1:5" ht="15.6" thickTop="1" thickBot="1" x14ac:dyDescent="0.35">
      <c r="A168" s="13">
        <v>8002900</v>
      </c>
      <c r="B168" s="6" t="s">
        <v>181</v>
      </c>
      <c r="C168" t="s">
        <v>13</v>
      </c>
      <c r="D168" s="24" t="s">
        <v>13</v>
      </c>
      <c r="E168" s="24" t="s">
        <v>13</v>
      </c>
    </row>
    <row r="169" spans="1:5" ht="15.6" thickTop="1" thickBot="1" x14ac:dyDescent="0.35">
      <c r="A169" s="13">
        <v>8015700</v>
      </c>
      <c r="B169" s="6" t="s">
        <v>48</v>
      </c>
      <c r="C169" t="s">
        <v>13</v>
      </c>
      <c r="D169" s="24" t="s">
        <v>13</v>
      </c>
      <c r="E169" s="24" t="s">
        <v>13</v>
      </c>
    </row>
    <row r="170" spans="1:5" ht="15.6" thickTop="1" thickBot="1" x14ac:dyDescent="0.35">
      <c r="A170" s="13">
        <v>8035300</v>
      </c>
      <c r="B170" s="6" t="s">
        <v>95</v>
      </c>
      <c r="C170" t="s">
        <v>13</v>
      </c>
      <c r="D170" s="24" t="s">
        <v>13</v>
      </c>
      <c r="E170" s="24" t="s">
        <v>13</v>
      </c>
    </row>
    <row r="171" spans="1:5" ht="15.6" thickTop="1" thickBot="1" x14ac:dyDescent="0.35">
      <c r="A171" s="13">
        <v>8028000</v>
      </c>
      <c r="B171" s="6" t="s">
        <v>196</v>
      </c>
      <c r="C171" t="s">
        <v>13</v>
      </c>
      <c r="D171" s="24" t="s">
        <v>13</v>
      </c>
      <c r="E171" s="24" t="s">
        <v>13</v>
      </c>
    </row>
    <row r="172" spans="1:5" ht="15.6" thickTop="1" thickBot="1" x14ac:dyDescent="0.35">
      <c r="A172" s="13">
        <v>8055950</v>
      </c>
      <c r="B172" s="6" t="s">
        <v>521</v>
      </c>
      <c r="C172" t="s">
        <v>13</v>
      </c>
      <c r="D172" s="24" t="s">
        <v>13</v>
      </c>
      <c r="E172" s="24" t="s">
        <v>13</v>
      </c>
    </row>
    <row r="173" spans="1:5" ht="15.6" thickTop="1" thickBot="1" x14ac:dyDescent="0.35">
      <c r="A173" s="13">
        <v>8057400</v>
      </c>
      <c r="B173" s="6" t="s">
        <v>143</v>
      </c>
      <c r="C173" t="s">
        <v>13</v>
      </c>
      <c r="D173" s="24" t="s">
        <v>13</v>
      </c>
      <c r="E173" s="24" t="s">
        <v>13</v>
      </c>
    </row>
    <row r="174" spans="1:5" ht="15.6" thickTop="1" thickBot="1" x14ac:dyDescent="0.35">
      <c r="A174" s="13">
        <v>8057800</v>
      </c>
      <c r="B174" s="6" t="s">
        <v>241</v>
      </c>
      <c r="C174" t="s">
        <v>13</v>
      </c>
      <c r="D174" s="24" t="s">
        <v>13</v>
      </c>
      <c r="E174" s="24" t="s">
        <v>13</v>
      </c>
    </row>
    <row r="175" spans="1:5" ht="15.6" thickTop="1" thickBot="1" x14ac:dyDescent="0.35">
      <c r="A175" s="13">
        <v>8057350</v>
      </c>
      <c r="B175" s="6" t="s">
        <v>142</v>
      </c>
      <c r="C175" t="s">
        <v>13</v>
      </c>
      <c r="D175" s="24" t="s">
        <v>13</v>
      </c>
      <c r="E175" s="24" t="s">
        <v>13</v>
      </c>
    </row>
    <row r="176" spans="1:5" ht="15.6" thickTop="1" thickBot="1" x14ac:dyDescent="0.35">
      <c r="A176" s="13">
        <v>8057450</v>
      </c>
      <c r="B176" s="6" t="s">
        <v>144</v>
      </c>
      <c r="C176" t="s">
        <v>13</v>
      </c>
      <c r="D176" s="24" t="s">
        <v>13</v>
      </c>
      <c r="E176" s="24" t="s">
        <v>13</v>
      </c>
    </row>
    <row r="177" spans="1:22" ht="15.6" thickTop="1" thickBot="1" x14ac:dyDescent="0.35">
      <c r="A177" s="13">
        <v>8057650</v>
      </c>
      <c r="B177" s="6" t="s">
        <v>148</v>
      </c>
      <c r="C177" t="s">
        <v>13</v>
      </c>
      <c r="D177" s="24" t="s">
        <v>13</v>
      </c>
      <c r="E177" s="24" t="s">
        <v>13</v>
      </c>
    </row>
    <row r="178" spans="1:22" ht="15.6" thickTop="1" thickBot="1" x14ac:dyDescent="0.35">
      <c r="A178" s="13">
        <v>8057500</v>
      </c>
      <c r="B178" s="6" t="s">
        <v>145</v>
      </c>
      <c r="C178" t="s">
        <v>13</v>
      </c>
      <c r="D178" s="24" t="s">
        <v>13</v>
      </c>
      <c r="E178" s="24" t="s">
        <v>13</v>
      </c>
    </row>
    <row r="179" spans="1:22" ht="15.6" thickTop="1" thickBot="1" x14ac:dyDescent="0.35">
      <c r="A179" s="13">
        <v>8057550</v>
      </c>
      <c r="B179" s="6" t="s">
        <v>146</v>
      </c>
      <c r="C179" t="s">
        <v>13</v>
      </c>
      <c r="D179" s="24" t="s">
        <v>13</v>
      </c>
      <c r="E179" s="24" t="s">
        <v>13</v>
      </c>
    </row>
    <row r="180" spans="1:22" ht="15.6" thickTop="1" thickBot="1" x14ac:dyDescent="0.35">
      <c r="A180" s="13">
        <v>8057600</v>
      </c>
      <c r="B180" s="6" t="s">
        <v>147</v>
      </c>
      <c r="C180" t="s">
        <v>13</v>
      </c>
      <c r="D180" s="24" t="s">
        <v>13</v>
      </c>
      <c r="E180" s="24" t="s">
        <v>13</v>
      </c>
    </row>
    <row r="181" spans="1:22" ht="15.6" thickTop="1" thickBot="1" x14ac:dyDescent="0.35">
      <c r="A181" s="13">
        <v>8061200</v>
      </c>
      <c r="B181" s="6" t="s">
        <v>251</v>
      </c>
      <c r="C181" t="s">
        <v>13</v>
      </c>
      <c r="D181" s="24" t="s">
        <v>13</v>
      </c>
      <c r="E181" s="24" t="s">
        <v>13</v>
      </c>
    </row>
    <row r="182" spans="1:22" ht="15.6" thickTop="1" thickBot="1" x14ac:dyDescent="0.35">
      <c r="A182" s="13">
        <v>8039200</v>
      </c>
      <c r="B182" s="6" t="s">
        <v>101</v>
      </c>
      <c r="C182" t="s">
        <v>13</v>
      </c>
      <c r="D182" s="24" t="s">
        <v>13</v>
      </c>
      <c r="E182" s="24" t="s">
        <v>13</v>
      </c>
    </row>
    <row r="183" spans="1:22" ht="15.6" thickTop="1" thickBot="1" x14ac:dyDescent="0.35">
      <c r="A183" s="13">
        <v>8031500</v>
      </c>
      <c r="B183" s="6" t="s">
        <v>85</v>
      </c>
      <c r="C183" t="s">
        <v>13</v>
      </c>
      <c r="D183" s="24" t="s">
        <v>13</v>
      </c>
      <c r="E183" s="24" t="s">
        <v>13</v>
      </c>
    </row>
    <row r="184" spans="1:22" ht="15.6" thickTop="1" thickBot="1" x14ac:dyDescent="0.35">
      <c r="A184" s="13">
        <v>8053500</v>
      </c>
      <c r="B184" s="6" t="s">
        <v>121</v>
      </c>
      <c r="C184" t="s">
        <v>13</v>
      </c>
      <c r="D184" s="24" t="s">
        <v>13</v>
      </c>
      <c r="E184" s="24" t="s">
        <v>13</v>
      </c>
    </row>
    <row r="185" spans="1:22" ht="15.6" thickTop="1" thickBot="1" x14ac:dyDescent="0.35">
      <c r="A185" s="13">
        <v>9010590</v>
      </c>
      <c r="B185" s="6" t="s">
        <v>253</v>
      </c>
      <c r="C185" t="s">
        <v>13</v>
      </c>
      <c r="D185" s="24" t="s">
        <v>13</v>
      </c>
      <c r="E185" s="24" t="s">
        <v>13</v>
      </c>
    </row>
    <row r="186" spans="1:22" ht="15.6" thickTop="1" thickBot="1" x14ac:dyDescent="0.35">
      <c r="A186" s="13">
        <v>9010580</v>
      </c>
      <c r="B186" s="6" t="s">
        <v>252</v>
      </c>
      <c r="C186" t="s">
        <v>13</v>
      </c>
      <c r="D186" s="24" t="s">
        <v>13</v>
      </c>
      <c r="E186" s="24" t="s">
        <v>13</v>
      </c>
    </row>
    <row r="187" spans="1:22" ht="15.6" thickTop="1" thickBot="1" x14ac:dyDescent="0.35">
      <c r="A187" s="13">
        <v>8056150</v>
      </c>
      <c r="B187" s="6" t="s">
        <v>8</v>
      </c>
      <c r="C187" t="s">
        <v>498</v>
      </c>
      <c r="D187" s="23">
        <v>45385</v>
      </c>
      <c r="E187" t="s">
        <v>174</v>
      </c>
      <c r="F187" s="11">
        <v>-1.9683354728284124E-2</v>
      </c>
      <c r="G187" s="11">
        <v>-6.4239828693790149E-2</v>
      </c>
      <c r="H187" s="11">
        <v>0.34782608695652173</v>
      </c>
      <c r="I187" s="11">
        <v>-2.7027027027027029E-2</v>
      </c>
      <c r="J187" s="11">
        <v>-5.076142131979695E-3</v>
      </c>
      <c r="K187" s="11">
        <v>-8.3769633507853408E-2</v>
      </c>
      <c r="L187" s="11">
        <v>0.22222222222222221</v>
      </c>
      <c r="M187" s="11">
        <v>-2.9850746268656716E-2</v>
      </c>
      <c r="N187" s="11">
        <v>0.58823529411764708</v>
      </c>
      <c r="O187" s="11">
        <v>0.2608695652173913</v>
      </c>
      <c r="P187" s="11">
        <v>0</v>
      </c>
      <c r="Q187" s="11">
        <v>-1.7094017094017096E-2</v>
      </c>
      <c r="R187" s="11">
        <v>-3.5874439461883408E-2</v>
      </c>
      <c r="S187" s="11">
        <v>0.22222222222222221</v>
      </c>
      <c r="T187" s="11">
        <v>0.90909090909090906</v>
      </c>
      <c r="U187" s="11">
        <v>-3.870967741935484E-2</v>
      </c>
      <c r="V187" s="11">
        <v>1.282051282051282E-2</v>
      </c>
    </row>
    <row r="188" spans="1:22" ht="15.6" thickTop="1" thickBot="1" x14ac:dyDescent="0.35">
      <c r="A188" s="13">
        <v>8042800</v>
      </c>
      <c r="B188" s="6" t="s">
        <v>108</v>
      </c>
      <c r="C188" t="s">
        <v>13</v>
      </c>
      <c r="D188" s="24" t="s">
        <v>13</v>
      </c>
      <c r="E188" s="24" t="s">
        <v>13</v>
      </c>
    </row>
    <row r="189" spans="1:22" ht="15.6" thickTop="1" thickBot="1" x14ac:dyDescent="0.35">
      <c r="A189" s="13">
        <v>8051600</v>
      </c>
      <c r="B189" s="6" t="s">
        <v>118</v>
      </c>
      <c r="C189" t="s">
        <v>13</v>
      </c>
      <c r="D189" s="24" t="s">
        <v>13</v>
      </c>
      <c r="E189" s="24" t="s">
        <v>13</v>
      </c>
    </row>
    <row r="190" spans="1:22" ht="15.6" thickTop="1" thickBot="1" x14ac:dyDescent="0.35">
      <c r="A190" s="13">
        <v>8052400</v>
      </c>
      <c r="B190" s="6" t="s">
        <v>119</v>
      </c>
      <c r="C190" t="s">
        <v>13</v>
      </c>
      <c r="D190" s="24" t="s">
        <v>13</v>
      </c>
      <c r="E190" s="24" t="s">
        <v>13</v>
      </c>
    </row>
    <row r="191" spans="1:22" ht="15.6" thickTop="1" thickBot="1" x14ac:dyDescent="0.35">
      <c r="A191" s="13">
        <v>8022300</v>
      </c>
      <c r="B191" s="6" t="s">
        <v>61</v>
      </c>
      <c r="C191" t="s">
        <v>13</v>
      </c>
      <c r="D191" s="24" t="s">
        <v>13</v>
      </c>
      <c r="E191" s="24" t="s">
        <v>13</v>
      </c>
    </row>
    <row r="192" spans="1:22" ht="15.6" thickTop="1" thickBot="1" x14ac:dyDescent="0.35">
      <c r="A192" s="13">
        <v>8039600</v>
      </c>
      <c r="B192" s="6" t="s">
        <v>102</v>
      </c>
      <c r="C192" t="s">
        <v>13</v>
      </c>
      <c r="D192" s="24" t="s">
        <v>13</v>
      </c>
      <c r="E192" s="24" t="s">
        <v>13</v>
      </c>
    </row>
    <row r="193" spans="1:22" ht="15.6" thickTop="1" thickBot="1" x14ac:dyDescent="0.35">
      <c r="A193" s="13">
        <v>8027300</v>
      </c>
      <c r="B193" s="6" t="s">
        <v>78</v>
      </c>
      <c r="C193" t="s">
        <v>13</v>
      </c>
      <c r="D193" s="24" t="s">
        <v>13</v>
      </c>
      <c r="E193" s="24" t="s">
        <v>13</v>
      </c>
    </row>
    <row r="194" spans="1:22" ht="15.6" thickTop="1" thickBot="1" x14ac:dyDescent="0.35">
      <c r="A194" s="13">
        <v>8024300</v>
      </c>
      <c r="B194" s="6" t="s">
        <v>66</v>
      </c>
      <c r="C194" t="s">
        <v>13</v>
      </c>
      <c r="D194" s="24" t="s">
        <v>13</v>
      </c>
      <c r="E194" s="24" t="s">
        <v>13</v>
      </c>
    </row>
    <row r="195" spans="1:22" ht="15.6" thickTop="1" thickBot="1" x14ac:dyDescent="0.35">
      <c r="A195" s="13">
        <v>8037500</v>
      </c>
      <c r="B195" s="6" t="s">
        <v>98</v>
      </c>
      <c r="C195" t="s">
        <v>13</v>
      </c>
      <c r="D195" s="24" t="s">
        <v>13</v>
      </c>
      <c r="E195" s="24" t="s">
        <v>13</v>
      </c>
    </row>
    <row r="196" spans="1:22" ht="15.6" thickTop="1" thickBot="1" x14ac:dyDescent="0.35">
      <c r="A196" s="13">
        <v>8024600</v>
      </c>
      <c r="B196" s="6" t="s">
        <v>2</v>
      </c>
      <c r="C196" t="s">
        <v>13</v>
      </c>
      <c r="D196" s="24" t="s">
        <v>13</v>
      </c>
      <c r="E196" s="24" t="s">
        <v>13</v>
      </c>
    </row>
    <row r="197" spans="1:22" ht="15.6" thickTop="1" thickBot="1" x14ac:dyDescent="0.35">
      <c r="A197" s="13">
        <v>8036500</v>
      </c>
      <c r="B197" s="6" t="s">
        <v>96</v>
      </c>
      <c r="C197" t="s">
        <v>13</v>
      </c>
      <c r="D197" s="24" t="s">
        <v>13</v>
      </c>
      <c r="E197" s="24" t="s">
        <v>13</v>
      </c>
    </row>
    <row r="198" spans="1:22" ht="15.6" thickTop="1" thickBot="1" x14ac:dyDescent="0.35">
      <c r="A198" s="13">
        <v>8027900</v>
      </c>
      <c r="B198" s="6" t="s">
        <v>0</v>
      </c>
      <c r="C198" t="s">
        <v>13</v>
      </c>
      <c r="D198" s="24" t="s">
        <v>13</v>
      </c>
      <c r="E198" s="24" t="s">
        <v>13</v>
      </c>
    </row>
    <row r="199" spans="1:22" ht="15.6" thickTop="1" thickBot="1" x14ac:dyDescent="0.35">
      <c r="A199" s="13">
        <v>8039300</v>
      </c>
      <c r="B199" s="6" t="s">
        <v>11</v>
      </c>
      <c r="C199" t="s">
        <v>498</v>
      </c>
      <c r="D199" s="23">
        <v>45390</v>
      </c>
      <c r="E199" t="s">
        <v>177</v>
      </c>
      <c r="F199" s="11">
        <v>-8.5423728813559321E-2</v>
      </c>
      <c r="G199" s="11" t="s">
        <v>13</v>
      </c>
      <c r="H199" s="11">
        <v>-5.3475935828877004E-2</v>
      </c>
      <c r="I199" s="11">
        <v>-1.9933554817275746E-2</v>
      </c>
      <c r="J199" s="11">
        <v>-0.15160349854227406</v>
      </c>
      <c r="K199" s="11" t="s">
        <v>13</v>
      </c>
      <c r="L199" s="11" t="s">
        <v>13</v>
      </c>
      <c r="M199" s="11" t="s">
        <v>13</v>
      </c>
      <c r="N199" s="11">
        <v>3.7735849056603772E-2</v>
      </c>
      <c r="O199" s="11">
        <v>0</v>
      </c>
      <c r="P199" s="11">
        <v>-8.9552238805970144E-2</v>
      </c>
      <c r="Q199" s="11" t="s">
        <v>13</v>
      </c>
      <c r="R199" s="11">
        <v>-1.8083182640144666E-2</v>
      </c>
      <c r="S199" s="11">
        <v>-4.2553191489361701E-2</v>
      </c>
      <c r="T199" s="11">
        <v>-0.04</v>
      </c>
      <c r="U199" s="11">
        <v>-0.17064846416382254</v>
      </c>
      <c r="V199" s="11" t="s">
        <v>13</v>
      </c>
    </row>
    <row r="200" spans="1:22" ht="15.6" thickTop="1" thickBot="1" x14ac:dyDescent="0.35">
      <c r="A200" s="13">
        <v>9010660</v>
      </c>
      <c r="B200" s="6" t="s">
        <v>254</v>
      </c>
      <c r="C200" t="s">
        <v>13</v>
      </c>
      <c r="D200" s="24" t="s">
        <v>13</v>
      </c>
      <c r="E200" s="24" t="s">
        <v>13</v>
      </c>
    </row>
    <row r="201" spans="1:22" ht="15.6" thickTop="1" thickBot="1" x14ac:dyDescent="0.35">
      <c r="A201" s="13">
        <v>8017300</v>
      </c>
      <c r="B201" s="6" t="s">
        <v>51</v>
      </c>
      <c r="C201" t="s">
        <v>13</v>
      </c>
      <c r="D201" s="24" t="s">
        <v>13</v>
      </c>
      <c r="E201" s="24" t="s">
        <v>13</v>
      </c>
    </row>
    <row r="202" spans="1:22" ht="15.6" thickTop="1" thickBot="1" x14ac:dyDescent="0.35">
      <c r="A202" s="13">
        <v>8029200</v>
      </c>
      <c r="B202" s="6" t="s">
        <v>84</v>
      </c>
      <c r="C202" t="s">
        <v>13</v>
      </c>
      <c r="D202" s="24" t="s">
        <v>13</v>
      </c>
      <c r="E202" s="24" t="s">
        <v>13</v>
      </c>
    </row>
    <row r="203" spans="1:22" ht="15.6" thickTop="1" thickBot="1" x14ac:dyDescent="0.35">
      <c r="A203" s="13">
        <v>8058100</v>
      </c>
      <c r="B203" s="6" t="s">
        <v>249</v>
      </c>
      <c r="C203" t="s">
        <v>13</v>
      </c>
      <c r="D203" s="24" t="s">
        <v>13</v>
      </c>
      <c r="E203" s="24" t="s">
        <v>13</v>
      </c>
    </row>
    <row r="204" spans="1:22" ht="15.6" thickTop="1" thickBot="1" x14ac:dyDescent="0.35">
      <c r="A204" s="13">
        <v>8054600</v>
      </c>
      <c r="B204" s="6" t="s">
        <v>238</v>
      </c>
      <c r="C204" t="s">
        <v>13</v>
      </c>
      <c r="D204" s="24" t="s">
        <v>13</v>
      </c>
      <c r="E204" s="24" t="s">
        <v>13</v>
      </c>
    </row>
    <row r="205" spans="1:22" ht="15.6" thickTop="1" thickBot="1" x14ac:dyDescent="0.35">
      <c r="A205" s="13">
        <v>8058015</v>
      </c>
      <c r="B205" s="6" t="s">
        <v>248</v>
      </c>
      <c r="C205" t="s">
        <v>13</v>
      </c>
      <c r="D205" s="24" t="s">
        <v>13</v>
      </c>
      <c r="E205" s="24" t="s">
        <v>13</v>
      </c>
    </row>
    <row r="206" spans="1:22" ht="15.6" thickTop="1" thickBot="1" x14ac:dyDescent="0.35">
      <c r="A206" s="13">
        <v>8058010</v>
      </c>
      <c r="B206" s="6" t="s">
        <v>247</v>
      </c>
      <c r="C206" t="s">
        <v>13</v>
      </c>
      <c r="D206" s="24" t="s">
        <v>13</v>
      </c>
      <c r="E206" s="24" t="s">
        <v>13</v>
      </c>
    </row>
    <row r="207" spans="1:22" ht="15.6" thickTop="1" thickBot="1" x14ac:dyDescent="0.35">
      <c r="A207" s="13">
        <v>8027200</v>
      </c>
      <c r="B207" s="6" t="s">
        <v>1</v>
      </c>
      <c r="C207" t="s">
        <v>498</v>
      </c>
      <c r="D207" s="23">
        <v>45385</v>
      </c>
      <c r="E207" s="2" t="s">
        <v>176</v>
      </c>
      <c r="F207" s="11">
        <v>-7.1599045346062056E-3</v>
      </c>
      <c r="G207" s="11">
        <v>3.7243947858472998E-3</v>
      </c>
      <c r="H207" s="11">
        <v>0</v>
      </c>
      <c r="I207" s="11">
        <v>-2.0618556701030927E-2</v>
      </c>
      <c r="J207" s="11">
        <v>-8.4865629420084864E-3</v>
      </c>
      <c r="K207" s="11">
        <v>2.5974025974025976E-2</v>
      </c>
      <c r="L207" s="11">
        <v>-0.13333333333333333</v>
      </c>
      <c r="M207" s="11">
        <v>-4.3795620437956206E-2</v>
      </c>
      <c r="N207" s="11">
        <v>0</v>
      </c>
      <c r="O207" s="11">
        <v>0</v>
      </c>
      <c r="P207" s="11">
        <v>0</v>
      </c>
      <c r="Q207" s="11">
        <v>9.5238095238095233E-2</v>
      </c>
      <c r="R207" s="11">
        <v>-0.16091954022988506</v>
      </c>
      <c r="S207" s="11">
        <v>0</v>
      </c>
      <c r="T207" s="11">
        <v>-1</v>
      </c>
      <c r="U207" s="11">
        <v>-9.0909090909090912E-2</v>
      </c>
      <c r="V207" s="11">
        <v>2.6565464895635674E-2</v>
      </c>
    </row>
    <row r="208" spans="1:22" ht="15.6" thickTop="1" thickBot="1" x14ac:dyDescent="0.35">
      <c r="A208" s="13">
        <v>8048400</v>
      </c>
      <c r="B208" s="6" t="s">
        <v>219</v>
      </c>
      <c r="C208" t="s">
        <v>13</v>
      </c>
      <c r="D208" s="24" t="s">
        <v>13</v>
      </c>
      <c r="E208" s="24" t="s">
        <v>13</v>
      </c>
    </row>
    <row r="209" spans="1:5" ht="15.6" thickTop="1" thickBot="1" x14ac:dyDescent="0.35">
      <c r="A209" s="13">
        <v>8000400</v>
      </c>
      <c r="B209" s="6" t="s">
        <v>28</v>
      </c>
      <c r="C209" t="s">
        <v>13</v>
      </c>
      <c r="D209" s="24" t="s">
        <v>13</v>
      </c>
      <c r="E209" s="24" t="s">
        <v>13</v>
      </c>
    </row>
    <row r="210" spans="1:5" ht="15.6" thickTop="1" thickBot="1" x14ac:dyDescent="0.35">
      <c r="A210" s="13">
        <v>8033700</v>
      </c>
      <c r="B210" s="6" t="s">
        <v>89</v>
      </c>
      <c r="C210" t="s">
        <v>13</v>
      </c>
      <c r="D210" s="24" t="s">
        <v>13</v>
      </c>
      <c r="E210" s="24" t="s">
        <v>13</v>
      </c>
    </row>
    <row r="211" spans="1:5" ht="15.6" thickTop="1" thickBot="1" x14ac:dyDescent="0.35">
      <c r="A211" s="13">
        <v>8033800</v>
      </c>
      <c r="B211" s="6" t="s">
        <v>90</v>
      </c>
      <c r="C211" t="s">
        <v>13</v>
      </c>
      <c r="D211" s="24" t="s">
        <v>13</v>
      </c>
      <c r="E211" s="24" t="s">
        <v>13</v>
      </c>
    </row>
    <row r="212" spans="1:5" ht="15.6" thickTop="1" thickBot="1" x14ac:dyDescent="0.35">
      <c r="A212" s="13">
        <v>8033900</v>
      </c>
      <c r="B212" s="6" t="s">
        <v>91</v>
      </c>
      <c r="C212" t="s">
        <v>13</v>
      </c>
      <c r="D212" s="24" t="s">
        <v>13</v>
      </c>
      <c r="E212" s="24" t="s">
        <v>13</v>
      </c>
    </row>
    <row r="213" spans="1:5" ht="15.6" thickTop="1" thickBot="1" x14ac:dyDescent="0.35">
      <c r="A213" s="13">
        <v>8034400</v>
      </c>
      <c r="B213" s="6" t="s">
        <v>6</v>
      </c>
      <c r="C213" t="s">
        <v>13</v>
      </c>
      <c r="D213" s="24" t="s">
        <v>13</v>
      </c>
      <c r="E213" s="24" t="s">
        <v>13</v>
      </c>
    </row>
    <row r="214" spans="1:5" ht="15.6" thickTop="1" thickBot="1" x14ac:dyDescent="0.35">
      <c r="A214" s="13">
        <v>8047600</v>
      </c>
      <c r="B214" s="6" t="s">
        <v>23</v>
      </c>
      <c r="C214" t="s">
        <v>13</v>
      </c>
      <c r="D214" s="24" t="s">
        <v>13</v>
      </c>
      <c r="E214" s="24" t="s">
        <v>13</v>
      </c>
    </row>
    <row r="215" spans="1:5" ht="15.6" thickTop="1" thickBot="1" x14ac:dyDescent="0.35">
      <c r="A215" s="13">
        <v>8057845</v>
      </c>
      <c r="B215" s="6" t="s">
        <v>150</v>
      </c>
      <c r="C215" t="s">
        <v>13</v>
      </c>
      <c r="D215" s="24" t="s">
        <v>13</v>
      </c>
      <c r="E215" s="24" t="s">
        <v>13</v>
      </c>
    </row>
    <row r="216" spans="1:5" ht="15.6" thickTop="1" thickBot="1" x14ac:dyDescent="0.35">
      <c r="A216" s="13">
        <v>8033600</v>
      </c>
      <c r="B216" s="6" t="s">
        <v>88</v>
      </c>
      <c r="C216" t="s">
        <v>13</v>
      </c>
      <c r="D216" s="24" t="s">
        <v>13</v>
      </c>
      <c r="E216" s="24" t="s">
        <v>13</v>
      </c>
    </row>
    <row r="217" spans="1:5" ht="15.6" thickTop="1" thickBot="1" x14ac:dyDescent="0.35">
      <c r="A217" s="13">
        <v>8034700</v>
      </c>
      <c r="B217" s="6" t="s">
        <v>205</v>
      </c>
      <c r="C217" t="s">
        <v>13</v>
      </c>
      <c r="D217" s="24" t="s">
        <v>13</v>
      </c>
      <c r="E217" s="24" t="s">
        <v>13</v>
      </c>
    </row>
    <row r="218" spans="1:5" ht="15.6" thickTop="1" thickBot="1" x14ac:dyDescent="0.35">
      <c r="A218" s="13">
        <v>8034900</v>
      </c>
      <c r="B218" s="6" t="s">
        <v>93</v>
      </c>
      <c r="C218" t="s">
        <v>13</v>
      </c>
      <c r="D218" s="24" t="s">
        <v>13</v>
      </c>
      <c r="E218" s="24" t="s">
        <v>13</v>
      </c>
    </row>
    <row r="219" spans="1:5" ht="15.6" thickTop="1" thickBot="1" x14ac:dyDescent="0.35">
      <c r="A219" s="13">
        <v>8034500</v>
      </c>
      <c r="B219" s="6" t="s">
        <v>204</v>
      </c>
      <c r="C219" t="s">
        <v>13</v>
      </c>
      <c r="D219" s="24" t="s">
        <v>13</v>
      </c>
      <c r="E219" s="24" t="s">
        <v>13</v>
      </c>
    </row>
    <row r="220" spans="1:5" ht="15.6" thickTop="1" thickBot="1" x14ac:dyDescent="0.35">
      <c r="A220" s="13">
        <v>9010560</v>
      </c>
      <c r="B220" s="6" t="s">
        <v>152</v>
      </c>
      <c r="C220" t="s">
        <v>13</v>
      </c>
      <c r="D220" s="24" t="s">
        <v>13</v>
      </c>
      <c r="E220" s="24" t="s">
        <v>13</v>
      </c>
    </row>
    <row r="221" spans="1:5" ht="15.6" thickTop="1" thickBot="1" x14ac:dyDescent="0.35">
      <c r="A221" s="13">
        <v>9010570</v>
      </c>
      <c r="B221" s="6" t="s">
        <v>153</v>
      </c>
      <c r="C221" t="s">
        <v>13</v>
      </c>
      <c r="D221" s="24" t="s">
        <v>13</v>
      </c>
      <c r="E221" s="24" t="s">
        <v>13</v>
      </c>
    </row>
    <row r="222" spans="1:5" ht="15.6" thickTop="1" thickBot="1" x14ac:dyDescent="0.35">
      <c r="A222" s="13">
        <v>8039700</v>
      </c>
      <c r="B222" s="6" t="s">
        <v>24</v>
      </c>
      <c r="C222" t="s">
        <v>13</v>
      </c>
      <c r="D222" s="24" t="s">
        <v>13</v>
      </c>
      <c r="E222" s="24" t="s">
        <v>13</v>
      </c>
    </row>
    <row r="223" spans="1:5" ht="15.6" thickTop="1" thickBot="1" x14ac:dyDescent="0.35">
      <c r="A223" s="13">
        <v>9010760</v>
      </c>
      <c r="B223" s="6" t="s">
        <v>155</v>
      </c>
      <c r="C223" t="s">
        <v>13</v>
      </c>
      <c r="D223" s="24" t="s">
        <v>13</v>
      </c>
      <c r="E223" s="24" t="s">
        <v>13</v>
      </c>
    </row>
    <row r="224" spans="1:5" ht="15.6" thickTop="1" thickBot="1" x14ac:dyDescent="0.35">
      <c r="A224" s="13">
        <v>8059010</v>
      </c>
      <c r="B224" s="6" t="s">
        <v>250</v>
      </c>
      <c r="C224" t="s">
        <v>13</v>
      </c>
      <c r="D224" s="24" t="s">
        <v>13</v>
      </c>
      <c r="E224" s="24" t="s">
        <v>13</v>
      </c>
    </row>
    <row r="225" spans="1:5" ht="15.6" thickTop="1" thickBot="1" x14ac:dyDescent="0.35">
      <c r="A225" s="13">
        <v>8056550</v>
      </c>
      <c r="B225" s="6" t="s">
        <v>138</v>
      </c>
      <c r="C225" t="s">
        <v>13</v>
      </c>
      <c r="D225" s="24" t="s">
        <v>13</v>
      </c>
      <c r="E225" s="24" t="s">
        <v>13</v>
      </c>
    </row>
    <row r="226" spans="1:5" ht="15.6" thickTop="1" thickBot="1" x14ac:dyDescent="0.35">
      <c r="A226" s="13">
        <v>8057895</v>
      </c>
      <c r="B226" s="6" t="s">
        <v>243</v>
      </c>
      <c r="C226" t="s">
        <v>13</v>
      </c>
      <c r="D226" s="24" t="s">
        <v>13</v>
      </c>
      <c r="E226" s="24" t="s">
        <v>13</v>
      </c>
    </row>
    <row r="227" spans="1:5" ht="15.6" thickTop="1" thickBot="1" x14ac:dyDescent="0.35">
      <c r="A227" s="13">
        <v>8057900</v>
      </c>
      <c r="B227" s="6" t="s">
        <v>244</v>
      </c>
      <c r="C227" t="s">
        <v>13</v>
      </c>
      <c r="D227" s="24" t="s">
        <v>13</v>
      </c>
      <c r="E227" s="24" t="s">
        <v>13</v>
      </c>
    </row>
    <row r="228" spans="1:5" ht="15.6" thickTop="1" thickBot="1" x14ac:dyDescent="0.35">
      <c r="A228" s="13">
        <v>8057890</v>
      </c>
      <c r="B228" s="6" t="s">
        <v>242</v>
      </c>
      <c r="C228" t="s">
        <v>13</v>
      </c>
      <c r="D228" s="24" t="s">
        <v>13</v>
      </c>
      <c r="E228" s="24" t="s">
        <v>13</v>
      </c>
    </row>
    <row r="229" spans="1:5" ht="15.6" thickTop="1" thickBot="1" x14ac:dyDescent="0.35">
      <c r="A229" s="13">
        <v>8033400</v>
      </c>
      <c r="B229" s="6" t="s">
        <v>202</v>
      </c>
      <c r="C229" t="s">
        <v>13</v>
      </c>
      <c r="D229" s="24" t="s">
        <v>13</v>
      </c>
      <c r="E229" s="24" t="s">
        <v>13</v>
      </c>
    </row>
    <row r="230" spans="1:5" ht="15.6" thickTop="1" thickBot="1" x14ac:dyDescent="0.35">
      <c r="A230" s="13">
        <v>8033300</v>
      </c>
      <c r="B230" s="6" t="s">
        <v>201</v>
      </c>
      <c r="C230" t="s">
        <v>13</v>
      </c>
      <c r="D230" s="24" t="s">
        <v>13</v>
      </c>
      <c r="E230" s="24" t="s">
        <v>13</v>
      </c>
    </row>
    <row r="231" spans="1:5" ht="15.6" thickTop="1" thickBot="1" x14ac:dyDescent="0.35">
      <c r="A231" s="13">
        <v>8034000</v>
      </c>
      <c r="B231" s="6" t="s">
        <v>92</v>
      </c>
      <c r="C231" t="s">
        <v>13</v>
      </c>
      <c r="D231" s="24" t="s">
        <v>13</v>
      </c>
      <c r="E231" s="24" t="s">
        <v>13</v>
      </c>
    </row>
    <row r="232" spans="1:5" ht="15.6" thickTop="1" thickBot="1" x14ac:dyDescent="0.35">
      <c r="A232" s="13">
        <v>8012100</v>
      </c>
      <c r="B232" s="6" t="s">
        <v>44</v>
      </c>
      <c r="C232" t="s">
        <v>13</v>
      </c>
      <c r="D232" s="24" t="s">
        <v>13</v>
      </c>
      <c r="E232" s="24" t="s">
        <v>13</v>
      </c>
    </row>
    <row r="233" spans="1:5" ht="15.6" thickTop="1" thickBot="1" x14ac:dyDescent="0.35">
      <c r="A233" s="13">
        <v>8055300</v>
      </c>
      <c r="B233" s="6" t="s">
        <v>133</v>
      </c>
      <c r="C233" t="s">
        <v>13</v>
      </c>
      <c r="D233" s="24" t="s">
        <v>13</v>
      </c>
      <c r="E233" s="24" t="s">
        <v>13</v>
      </c>
    </row>
    <row r="234" spans="1:5" ht="15.6" thickTop="1" thickBot="1" x14ac:dyDescent="0.35">
      <c r="A234" s="13">
        <v>8025200</v>
      </c>
      <c r="B234" s="6" t="s">
        <v>194</v>
      </c>
      <c r="C234" t="s">
        <v>13</v>
      </c>
      <c r="D234" s="24" t="s">
        <v>13</v>
      </c>
      <c r="E234" s="24" t="s">
        <v>13</v>
      </c>
    </row>
    <row r="235" spans="1:5" ht="15.6" thickTop="1" thickBot="1" x14ac:dyDescent="0.35">
      <c r="A235" s="13">
        <v>8024800</v>
      </c>
      <c r="B235" s="6" t="s">
        <v>67</v>
      </c>
      <c r="C235" t="s">
        <v>13</v>
      </c>
      <c r="D235" s="24" t="s">
        <v>13</v>
      </c>
      <c r="E235" s="24" t="s">
        <v>13</v>
      </c>
    </row>
    <row r="236" spans="1:5" ht="15.6" thickTop="1" thickBot="1" x14ac:dyDescent="0.35">
      <c r="A236" s="13">
        <v>8055200</v>
      </c>
      <c r="B236" s="6" t="s">
        <v>132</v>
      </c>
      <c r="C236" t="s">
        <v>13</v>
      </c>
      <c r="D236" s="24" t="s">
        <v>13</v>
      </c>
      <c r="E236" s="24" t="s">
        <v>13</v>
      </c>
    </row>
    <row r="237" spans="1:5" ht="15.6" thickTop="1" thickBot="1" x14ac:dyDescent="0.35">
      <c r="A237" s="13">
        <v>8051100</v>
      </c>
      <c r="B237" s="6" t="s">
        <v>25</v>
      </c>
      <c r="C237" t="s">
        <v>13</v>
      </c>
      <c r="D237" s="24" t="s">
        <v>13</v>
      </c>
      <c r="E237" s="24" t="s">
        <v>13</v>
      </c>
    </row>
    <row r="238" spans="1:5" ht="15" thickTop="1" x14ac:dyDescent="0.3"/>
  </sheetData>
  <autoFilter ref="A1:V1" xr:uid="{794F83C9-5D8B-4148-BB57-A0D8C204E3BE}">
    <sortState xmlns:xlrd2="http://schemas.microsoft.com/office/spreadsheetml/2017/richdata2" ref="A2:V237">
      <sortCondition ref="B2:B237"/>
    </sortState>
  </autoFilter>
  <conditionalFormatting sqref="C1:V1">
    <cfRule type="containsText" dxfId="16" priority="14" operator="containsText" text="flir">
      <formula>NOT(ISERROR(SEARCH("flir",C1)))</formula>
    </cfRule>
    <cfRule type="containsText" dxfId="15" priority="15" operator="containsText" text="iteris">
      <formula>NOT(ISERROR(SEARCH("iteris",C1)))</formula>
    </cfRule>
    <cfRule type="containsText" dxfId="14" priority="16" operator="containsText" text="solo">
      <formula>NOT(ISERROR(SEARCH("solo",C1)))</formula>
    </cfRule>
    <cfRule type="containsText" dxfId="13" priority="17" operator="containsText" text="vision">
      <formula>NOT(ISERROR(SEARCH("vision",C1)))</formula>
    </cfRule>
    <cfRule type="containsText" dxfId="12" priority="18" operator="containsText" text="encore">
      <formula>NOT(ISERROR(SEARCH("encore",C1)))</formula>
    </cfRule>
    <cfRule type="containsText" dxfId="11" priority="19" operator="containsText" text="terra">
      <formula>NOT(ISERROR(SEARCH("terra",C1)))</formula>
    </cfRule>
  </conditionalFormatting>
  <conditionalFormatting sqref="F17:V17 F80:V80 F126:V126 F195:V195">
    <cfRule type="containsText" priority="1" stopIfTrue="1" operator="containsText" text="NA">
      <formula>NOT(ISERROR(SEARCH("NA",F17)))</formula>
    </cfRule>
    <cfRule type="containsBlanks" priority="2" stopIfTrue="1">
      <formula>LEN(TRIM(F17))=0</formula>
    </cfRule>
    <cfRule type="cellIs" dxfId="10" priority="3" operator="lessThan">
      <formula>-0.1</formula>
    </cfRule>
    <cfRule type="cellIs" dxfId="9" priority="4" operator="greaterThan">
      <formula>0.1</formula>
    </cfRule>
    <cfRule type="cellIs" dxfId="8" priority="5" operator="between">
      <formula>-0.1</formula>
      <formula>-0.05</formula>
    </cfRule>
    <cfRule type="cellIs" dxfId="7" priority="6" operator="between">
      <formula>0.1</formula>
      <formula>0.05</formula>
    </cfRule>
    <cfRule type="cellIs" dxfId="6" priority="7" operator="between">
      <formula>-0.05</formula>
      <formula>0.05</formula>
    </cfRule>
    <cfRule type="containsText" dxfId="5" priority="8" operator="containsText" text="flir">
      <formula>NOT(ISERROR(SEARCH("flir",F17)))</formula>
    </cfRule>
    <cfRule type="containsText" dxfId="4" priority="9" operator="containsText" text="iteris">
      <formula>NOT(ISERROR(SEARCH("iteris",F17)))</formula>
    </cfRule>
    <cfRule type="containsText" dxfId="3" priority="10" operator="containsText" text="solo">
      <formula>NOT(ISERROR(SEARCH("solo",F17)))</formula>
    </cfRule>
    <cfRule type="containsText" dxfId="2" priority="11" operator="containsText" text="vision">
      <formula>NOT(ISERROR(SEARCH("vision",F17)))</formula>
    </cfRule>
    <cfRule type="containsText" dxfId="1" priority="12" operator="containsText" text="encore">
      <formula>NOT(ISERROR(SEARCH("encore",F17)))</formula>
    </cfRule>
    <cfRule type="containsText" dxfId="0" priority="13" operator="containsText" text="terra">
      <formula>NOT(ISERROR(SEARCH("terra",F17)))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b5b295-0925-4059-9c8d-70bac062743e">
      <Terms xmlns="http://schemas.microsoft.com/office/infopath/2007/PartnerControls"/>
    </lcf76f155ced4ddcb4097134ff3c332f>
    <TaxCatchAll xmlns="66dacab7-a067-4aaf-b88d-e77dc82a162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2457230C4F9E4DA825C9D1CB604B08" ma:contentTypeVersion="18" ma:contentTypeDescription="Create a new document." ma:contentTypeScope="" ma:versionID="a968becac9ef59a9e5a106553a584d98">
  <xsd:schema xmlns:xsd="http://www.w3.org/2001/XMLSchema" xmlns:xs="http://www.w3.org/2001/XMLSchema" xmlns:p="http://schemas.microsoft.com/office/2006/metadata/properties" xmlns:ns2="d6b5b295-0925-4059-9c8d-70bac062743e" xmlns:ns3="ebbb316b-69a7-4801-9b68-77c185b7f9b7" xmlns:ns4="66dacab7-a067-4aaf-b88d-e77dc82a1624" targetNamespace="http://schemas.microsoft.com/office/2006/metadata/properties" ma:root="true" ma:fieldsID="f6d2d155dad479a55ac8525415d5f8f4" ns2:_="" ns3:_="" ns4:_="">
    <xsd:import namespace="d6b5b295-0925-4059-9c8d-70bac062743e"/>
    <xsd:import namespace="ebbb316b-69a7-4801-9b68-77c185b7f9b7"/>
    <xsd:import namespace="66dacab7-a067-4aaf-b88d-e77dc82a16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b5b295-0925-4059-9c8d-70bac06274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3ae75ce-4bcd-48ac-ac55-3be0f0d583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b316b-69a7-4801-9b68-77c185b7f9b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dacab7-a067-4aaf-b88d-e77dc82a1624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f7f8ef46-beb8-4ffe-9fe8-f9d2b6393517}" ma:internalName="TaxCatchAll" ma:showField="CatchAllData" ma:web="ebbb316b-69a7-4801-9b68-77c185b7f9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E57B48-86C6-47A4-B3DA-0CBEEE1B760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4FA0FD9-1192-479C-AB79-34E582F16425}">
  <ds:schemaRefs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d6b5b295-0925-4059-9c8d-70bac062743e"/>
    <ds:schemaRef ds:uri="66dacab7-a067-4aaf-b88d-e77dc82a1624"/>
    <ds:schemaRef ds:uri="http://purl.org/dc/elements/1.1/"/>
    <ds:schemaRef ds:uri="http://purl.org/dc/dcmitype/"/>
    <ds:schemaRef ds:uri="http://purl.org/dc/terms/"/>
    <ds:schemaRef ds:uri="http://schemas.openxmlformats.org/package/2006/metadata/core-properties"/>
    <ds:schemaRef ds:uri="ebbb316b-69a7-4801-9b68-77c185b7f9b7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8202591-CFBC-4BFF-BD53-DC2894E6E4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b5b295-0925-4059-9c8d-70bac062743e"/>
    <ds:schemaRef ds:uri="ebbb316b-69a7-4801-9b68-77c185b7f9b7"/>
    <ds:schemaRef ds:uri="66dacab7-a067-4aaf-b88d-e77dc82a16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Results Summary</vt:lpstr>
      <vt:lpstr>1st Calibration</vt:lpstr>
      <vt:lpstr>Baseline</vt:lpstr>
      <vt:lpstr>1st Calibration Comparisons</vt:lpstr>
      <vt:lpstr>2nd Calibration</vt:lpstr>
      <vt:lpstr>2nd Calibration Comparisons</vt:lpstr>
      <vt:lpstr>Future Adjustments</vt:lpstr>
      <vt:lpstr>3rd Calibration</vt:lpstr>
      <vt:lpstr>'2nd Calibration Comparisons'!_FilterDatabase</vt:lpstr>
    </vt:vector>
  </TitlesOfParts>
  <Company>Hennepin County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 Regehr</dc:creator>
  <cp:lastModifiedBy>Sauharda M Shrestha</cp:lastModifiedBy>
  <dcterms:created xsi:type="dcterms:W3CDTF">2024-01-30T21:42:34Z</dcterms:created>
  <dcterms:modified xsi:type="dcterms:W3CDTF">2026-05-14T14:23:18Z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0x0101004D2457230C4F9E4DA825C9D1CB604B08</vt:lpwstr>
  </property>
  <property fmtid="{D5CDD505-2E9C-101B-9397-08002B2CF9AE}" pid="3" name="MediaServiceImageTags">
    <vt:lpwstr/>
  </property>
</Properties>
</file>