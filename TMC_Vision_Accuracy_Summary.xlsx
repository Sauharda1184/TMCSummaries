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mparison" sheetId="2" state="visible" r:id="rId2"/>
    <sheet name="Paired Before-After" sheetId="3" state="visible" r:id="rId3"/>
    <sheet name="Baseline Data" sheetId="4" state="visible" r:id="rId4"/>
    <sheet name="Baseline Stats" sheetId="5" state="visible" r:id="rId5"/>
    <sheet name="Calibration1 Data" sheetId="6" state="visible" r:id="rId6"/>
    <sheet name="Calibration1 Stats"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b val="1"/>
      <sz val="14"/>
    </font>
    <font>
      <b val="1"/>
      <sz val="11"/>
    </font>
    <font>
      <b val="1"/>
      <sz val="13"/>
    </font>
    <font>
      <b val="1"/>
      <color rgb="00FFFFFF"/>
    </font>
    <font>
      <b val="1"/>
      <sz val="12"/>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xf>
    <xf numFmtId="164" fontId="0" fillId="0" borderId="0" pivotButton="0" quotePrefix="0" xfId="0"/>
    <xf numFmtId="2" fontId="0" fillId="0" borderId="0" pivotButton="0" quotePrefix="0" xfId="0"/>
    <xf numFmtId="165" fontId="0" fillId="0" borderId="0" pivotButton="0" quotePrefix="0" xfId="0"/>
    <xf numFmtId="0" fontId="0"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Mean GEH: Baseline vs. 1st Calibration</a:t>
            </a:r>
          </a:p>
        </rich>
      </tx>
    </title>
    <plotArea>
      <barChart>
        <barDir val="col"/>
        <grouping val="clustered"/>
        <ser>
          <idx val="0"/>
          <order val="0"/>
          <tx>
            <strRef>
              <f>'Comparison'!B2</f>
            </strRef>
          </tx>
          <spPr>
            <a:ln>
              <a:prstDash val="solid"/>
            </a:ln>
          </spPr>
          <cat>
            <numRef>
              <f>'Comparison'!$A$6:$A$7</f>
            </numRef>
          </cat>
          <val>
            <numRef>
              <f>'Comparison'!$B$3:$B$7</f>
            </numRef>
          </val>
        </ser>
        <ser>
          <idx val="1"/>
          <order val="1"/>
          <tx>
            <strRef>
              <f>'Comparison'!C2</f>
            </strRef>
          </tx>
          <spPr>
            <a:ln>
              <a:prstDash val="solid"/>
            </a:ln>
          </spPr>
          <cat>
            <numRef>
              <f>'Comparison'!$A$6:$A$7</f>
            </numRef>
          </cat>
          <val>
            <numRef>
              <f>'Comparison'!$C$3:$C$7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GEH</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GEH: Baseline vs. 1st Calibration (top 5 by Baseline GEH)</a:t>
            </a:r>
          </a:p>
        </rich>
      </tx>
    </title>
    <plotArea>
      <barChart>
        <barDir val="col"/>
        <grouping val="clustered"/>
        <ser>
          <idx val="0"/>
          <order val="0"/>
          <tx>
            <strRef>
              <f>'Paired Before-After'!B4</f>
            </strRef>
          </tx>
          <spPr>
            <a:ln>
              <a:prstDash val="solid"/>
            </a:ln>
          </spPr>
          <cat>
            <numRef>
              <f>'Paired Before-After'!$A$5:$A$9</f>
            </numRef>
          </cat>
          <val>
            <numRef>
              <f>'Paired Before-After'!$B$5:$B$9</f>
            </numRef>
          </val>
        </ser>
        <ser>
          <idx val="1"/>
          <order val="1"/>
          <tx>
            <strRef>
              <f>'Paired Before-After'!C4</f>
            </strRef>
          </tx>
          <spPr>
            <a:ln>
              <a:prstDash val="solid"/>
            </a:ln>
          </spPr>
          <cat>
            <numRef>
              <f>'Paired Before-After'!$A$5:$A$9</f>
            </numRef>
          </cat>
          <val>
            <numRef>
              <f>'Paired Before-After'!$C$5:$C$9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GEH</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 Difference: Baseline vs. 1st Calibration (same top 5)</a:t>
            </a:r>
          </a:p>
        </rich>
      </tx>
    </title>
    <plotArea>
      <barChart>
        <barDir val="col"/>
        <grouping val="clustered"/>
        <ser>
          <idx val="0"/>
          <order val="0"/>
          <tx>
            <strRef>
              <f>'Paired Before-After'!D4</f>
            </strRef>
          </tx>
          <spPr>
            <a:ln>
              <a:prstDash val="solid"/>
            </a:ln>
          </spPr>
          <cat>
            <numRef>
              <f>'Paired Before-After'!$A$5:$A$9</f>
            </numRef>
          </cat>
          <val>
            <numRef>
              <f>'Paired Before-After'!$D$5:$D$9</f>
            </numRef>
          </val>
        </ser>
        <ser>
          <idx val="1"/>
          <order val="1"/>
          <tx>
            <strRef>
              <f>'Paired Before-After'!E4</f>
            </strRef>
          </tx>
          <spPr>
            <a:ln>
              <a:prstDash val="solid"/>
            </a:ln>
          </spPr>
          <cat>
            <numRef>
              <f>'Paired Before-After'!$A$5:$A$9</f>
            </numRef>
          </cat>
          <val>
            <numRef>
              <f>'Paired Before-After'!$E$5:$E$9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Difference</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Baseline: GEH (15-min) by Intersection</a:t>
            </a:r>
          </a:p>
        </rich>
      </tx>
    </title>
    <plotArea>
      <barChart>
        <barDir val="col"/>
        <grouping val="clustered"/>
        <ser>
          <idx val="0"/>
          <order val="0"/>
          <tx>
            <strRef>
              <f>'Baseline Data'!H1</f>
            </strRef>
          </tx>
          <spPr>
            <a:ln>
              <a:prstDash val="solid"/>
            </a:ln>
          </spPr>
          <cat>
            <numRef>
              <f>'Baseline Data'!$A$2:$A$49</f>
            </numRef>
          </cat>
          <val>
            <numRef>
              <f>'Baseline Data'!$H$2:$H$49</f>
            </numRef>
          </val>
        </ser>
        <gapWidth val="150"/>
        <axId val="10"/>
        <axId val="100"/>
      </barChart>
      <catAx>
        <axId val="10"/>
        <scaling>
          <orientation val="minMax"/>
        </scaling>
        <axPos val="l"/>
        <title>
          <tx>
            <rich>
              <a:bodyPr/>
              <a:p>
                <a:pPr>
                  <a:defRPr/>
                </a:pPr>
                <a:r>
                  <a:t>Intersection</a:t>
                </a:r>
              </a:p>
            </rich>
          </tx>
        </title>
        <majorTickMark val="none"/>
        <minorTickMark val="none"/>
        <crossAx val="100"/>
        <lblOffset val="100"/>
      </catAx>
      <valAx>
        <axId val="100"/>
        <scaling>
          <orientation val="minMax"/>
        </scaling>
        <axPos val="l"/>
        <majorGridlines/>
        <title>
          <tx>
            <rich>
              <a:bodyPr/>
              <a:p>
                <a:pPr>
                  <a:defRPr/>
                </a:pPr>
                <a:r>
                  <a:t>GEH</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Baseline: Manual vs. Vision Total</a:t>
            </a:r>
          </a:p>
        </rich>
      </tx>
    </title>
    <plotArea>
      <scatterChart>
        <ser>
          <idx val="0"/>
          <order val="0"/>
          <tx>
            <v>Intersections</v>
          </tx>
          <spPr>
            <a:ln>
              <a:noFill/>
              <a:prstDash val="solid"/>
            </a:ln>
          </spPr>
          <marker>
            <symbol val="circle"/>
            <spPr>
              <a:ln>
                <a:prstDash val="solid"/>
              </a:ln>
            </spPr>
          </marker>
          <xVal>
            <numRef>
              <f>'Baseline Data'!$E$2:$E$49</f>
            </numRef>
          </xVal>
          <yVal>
            <numRef>
              <f>'Baseline Data'!$F$2:$F$49</f>
            </numRef>
          </yVal>
        </ser>
        <axId val="10"/>
        <axId val="20"/>
      </scatterChart>
      <valAx>
        <axId val="10"/>
        <scaling>
          <orientation val="minMax"/>
        </scaling>
        <axPos val="l"/>
        <majorGridlines/>
        <title>
          <tx>
            <rich>
              <a:bodyPr/>
              <a:p>
                <a:pPr>
                  <a:defRPr/>
                </a:pPr>
                <a:r>
                  <a:t>Manual Total</a:t>
                </a:r>
              </a:p>
            </rich>
          </tx>
        </title>
        <majorTickMark val="none"/>
        <minorTickMark val="none"/>
        <crossAx val="20"/>
      </valAx>
      <valAx>
        <axId val="20"/>
        <scaling>
          <orientation val="minMax"/>
        </scaling>
        <axPos val="l"/>
        <majorGridlines/>
        <title>
          <tx>
            <rich>
              <a:bodyPr/>
              <a:p>
                <a:pPr>
                  <a:defRPr/>
                </a:pPr>
                <a:r>
                  <a:t>Vision Total</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1st Calibration: GEH (15-min) by Intersection</a:t>
            </a:r>
          </a:p>
        </rich>
      </tx>
    </title>
    <plotArea>
      <barChart>
        <barDir val="col"/>
        <grouping val="clustered"/>
        <ser>
          <idx val="0"/>
          <order val="0"/>
          <tx>
            <strRef>
              <f>'Calibration1 Data'!H1</f>
            </strRef>
          </tx>
          <spPr>
            <a:ln>
              <a:prstDash val="solid"/>
            </a:ln>
          </spPr>
          <cat>
            <numRef>
              <f>'Calibration1 Data'!$A$2:$A$48</f>
            </numRef>
          </cat>
          <val>
            <numRef>
              <f>'Calibration1 Data'!$H$2:$H$48</f>
            </numRef>
          </val>
        </ser>
        <gapWidth val="150"/>
        <axId val="10"/>
        <axId val="100"/>
      </barChart>
      <catAx>
        <axId val="10"/>
        <scaling>
          <orientation val="minMax"/>
        </scaling>
        <axPos val="l"/>
        <title>
          <tx>
            <rich>
              <a:bodyPr/>
              <a:p>
                <a:pPr>
                  <a:defRPr/>
                </a:pPr>
                <a:r>
                  <a:t>Intersection</a:t>
                </a:r>
              </a:p>
            </rich>
          </tx>
        </title>
        <majorTickMark val="none"/>
        <minorTickMark val="none"/>
        <crossAx val="100"/>
        <lblOffset val="100"/>
      </catAx>
      <valAx>
        <axId val="100"/>
        <scaling>
          <orientation val="minMax"/>
        </scaling>
        <axPos val="l"/>
        <majorGridlines/>
        <title>
          <tx>
            <rich>
              <a:bodyPr/>
              <a:p>
                <a:pPr>
                  <a:defRPr/>
                </a:pPr>
                <a:r>
                  <a:t>GEH</a:t>
                </a:r>
              </a:p>
            </rich>
          </tx>
        </title>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1st Calibration: Manual vs. Vision Total</a:t>
            </a:r>
          </a:p>
        </rich>
      </tx>
    </title>
    <plotArea>
      <scatterChart>
        <ser>
          <idx val="0"/>
          <order val="0"/>
          <tx>
            <v>Intersections</v>
          </tx>
          <spPr>
            <a:ln>
              <a:noFill/>
              <a:prstDash val="solid"/>
            </a:ln>
          </spPr>
          <marker>
            <symbol val="circle"/>
            <spPr>
              <a:ln>
                <a:prstDash val="solid"/>
              </a:ln>
            </spPr>
          </marker>
          <xVal>
            <numRef>
              <f>'Calibration1 Data'!$E$2:$E$48</f>
            </numRef>
          </xVal>
          <yVal>
            <numRef>
              <f>'Calibration1 Data'!$F$2:$F$48</f>
            </numRef>
          </yVal>
        </ser>
        <axId val="10"/>
        <axId val="20"/>
      </scatterChart>
      <valAx>
        <axId val="10"/>
        <scaling>
          <orientation val="minMax"/>
        </scaling>
        <axPos val="l"/>
        <majorGridlines/>
        <title>
          <tx>
            <rich>
              <a:bodyPr/>
              <a:p>
                <a:pPr>
                  <a:defRPr/>
                </a:pPr>
                <a:r>
                  <a:t>Manual Total</a:t>
                </a:r>
              </a:p>
            </rich>
          </tx>
        </title>
        <majorTickMark val="none"/>
        <minorTickMark val="none"/>
        <crossAx val="20"/>
      </valAx>
      <valAx>
        <axId val="20"/>
        <scaling>
          <orientation val="minMax"/>
        </scaling>
        <axPos val="l"/>
        <majorGridlines/>
        <title>
          <tx>
            <rich>
              <a:bodyPr/>
              <a:p>
                <a:pPr>
                  <a:defRPr/>
                </a:pPr>
                <a:r>
                  <a:t>Vision Total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_rels/drawing3.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_rels/drawing4.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0</row>
      <rowOff>0</rowOff>
    </from>
    <ext cx="8640000" cy="360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22</row>
      <rowOff>0</rowOff>
    </from>
    <ext cx="504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0</row>
      <rowOff>0</rowOff>
    </from>
    <ext cx="8640000" cy="360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22</row>
      <rowOff>0</rowOff>
    </from>
    <ext cx="5040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00" customWidth="1" min="1" max="1"/>
  </cols>
  <sheetData>
    <row r="1">
      <c r="A1" s="1" t="inlineStr">
        <is>
          <t>Vision Camera TMC Accuracy: Baseline vs. 1st Calibration</t>
        </is>
      </c>
    </row>
    <row r="3">
      <c r="A3" s="2" t="inlineStr">
        <is>
          <t>Project goal</t>
        </is>
      </c>
    </row>
    <row r="4" ht="84" customHeight="1">
      <c r="A4" s="3" t="inlineStr">
        <is>
          <t>Hennepin County's Transportation Operations Department is rolling out a Vision Camera system that automatically generates turning-movement counts (TMC) at signalized intersections — a task traditionally done by a person standing at the intersection with a tally sheet. Before the county can rely on the Vision Camera's counts, it needs to know how accurate they actually are. This project's goal was to answer that directly: manually count vehicles at a sample of intersections and compare those manual counts against what the Vision Camera recorded for the same time window.</t>
        </is>
      </c>
    </row>
    <row r="6">
      <c r="A6" s="2" t="inlineStr">
        <is>
          <t>Methodology</t>
        </is>
      </c>
    </row>
    <row r="7" ht="168" customHeight="1">
      <c r="A7" s="3" t="inlineStr">
        <is>
          <t>Manual counts were collected in 15-minute windows at each intersection and compared to the Vision Camera's count for that same window, using two standard traffic-engineering accuracy metrics:
% Difference — the plain relative error, (Vision - Manual) / Manual. Simple to read, but treats a 2-vehicle error the same whether the intersection carries 10 vehicles or 1,000.
GEH — a chi-squared-derived statistic used industry-wide (state DOTs, FHWA) to flag meaningful count discrepancies. Formula: GEH = sqrt(2*(Vision-Manual)^2 / (Vision+Manual)). It weights the error by count magnitude, so it isn't fooled by a large absolute gap on a high-volume intersection or alarmed by a small absolute gap on a low-volume one. Industry convention treats GEH &lt; 5 (on hourly volumes) as a good match.</t>
        </is>
      </c>
    </row>
    <row r="9">
      <c r="A9" s="2" t="inlineStr">
        <is>
          <t>Scope of this analysis</t>
        </is>
      </c>
    </row>
    <row r="10" ht="70" customHeight="1">
      <c r="A10" s="3" t="inlineStr">
        <is>
          <t>Of the 236 intersections tracked in the county's TMC workbook, manual counts were collected and compared for 48 intersections in the Baseline round and 47 intersections after the 1st Calibration adjustment. 16 of those intersections were measured in both rounds, which lets us look directly at whether calibration improved accuracy at the same locations (see the 'Paired Before-After' tab), in addition to the overall comparison across all measured intersections (see 'Comparison').</t>
        </is>
      </c>
    </row>
    <row r="12">
      <c r="A12" s="2" t="inlineStr">
        <is>
          <t>A note on 15-minute counts vs. the GEH&lt;5 threshold</t>
        </is>
      </c>
    </row>
    <row r="13" ht="70" customHeight="1">
      <c r="A13" s="3" t="inlineStr">
        <is>
          <t>These are 15-minute samples, not hourly volumes. GEH scales with sqrt(volume) for a fixed relative error, so the conventional GEH&lt;5 threshold — calibrated against hourly counts — is not directly applicable to raw 15-minute totals: scaling the same counts to an hourly-equivalent basis (x4 volume) roughly doubles every GEH value. Stats tabs report both the as-collected GEH and the hourly-equivalent GEH pass rate, rather than applying the threshold to only one basis.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5" customWidth="1" min="1" max="1"/>
    <col width="23" customWidth="1" min="2" max="2"/>
    <col width="22" customWidth="1" min="3" max="3"/>
  </cols>
  <sheetData>
    <row r="1">
      <c r="A1" s="4" t="inlineStr">
        <is>
          <t>TMC Vision Camera Accuracy: Baseline vs. 1st Calibration</t>
        </is>
      </c>
    </row>
    <row r="2">
      <c r="A2" s="5" t="inlineStr">
        <is>
          <t>Metric</t>
        </is>
      </c>
      <c r="B2" s="5" t="inlineStr">
        <is>
          <t>Baseline</t>
        </is>
      </c>
      <c r="C2" s="5" t="inlineStr">
        <is>
          <t>1st Calibration</t>
        </is>
      </c>
    </row>
    <row r="3">
      <c r="A3" t="inlineStr">
        <is>
          <t>Intersections with data</t>
        </is>
      </c>
      <c r="B3" t="n">
        <v>48</v>
      </c>
      <c r="C3" t="n">
        <v>47</v>
      </c>
    </row>
    <row r="4">
      <c r="A4" t="inlineStr">
        <is>
          <t>Mean % Difference</t>
        </is>
      </c>
      <c r="B4" s="6" t="n">
        <v>-0.02099205713857893</v>
      </c>
      <c r="C4" s="6" t="n">
        <v>-0.04251052154001571</v>
      </c>
    </row>
    <row r="5">
      <c r="A5" t="inlineStr">
        <is>
          <t>Mean |% Difference|</t>
        </is>
      </c>
      <c r="B5" s="6" t="n">
        <v>0.1079219886231051</v>
      </c>
      <c r="C5" s="6" t="n">
        <v>0.08255397410783856</v>
      </c>
    </row>
    <row r="6">
      <c r="A6" t="inlineStr">
        <is>
          <t>Mean GEH (15-min, as collected)</t>
        </is>
      </c>
      <c r="B6" s="7" t="n">
        <v>1.851204311272128</v>
      </c>
      <c r="C6" s="7" t="n">
        <v>1.6069919413422</v>
      </c>
    </row>
    <row r="7">
      <c r="A7" t="inlineStr">
        <is>
          <t>Mean GEH (hourly-equivalent)</t>
        </is>
      </c>
      <c r="B7" s="7" t="n">
        <v>3.702408622544256</v>
      </c>
      <c r="C7" s="7" t="n">
        <v>3.2139838826844</v>
      </c>
    </row>
    <row r="8">
      <c r="A8" t="inlineStr">
        <is>
          <t>Median GEH (15-min, as collected)</t>
        </is>
      </c>
      <c r="B8" s="7" t="n">
        <v>0.9563179316652561</v>
      </c>
      <c r="C8" s="7" t="n">
        <v>0.6575959492214292</v>
      </c>
    </row>
    <row r="9">
      <c r="A9" t="inlineStr">
        <is>
          <t>% Intersections GEH&lt;5 (15-min)</t>
        </is>
      </c>
      <c r="B9" s="8" t="n">
        <v>91.66666666666666</v>
      </c>
      <c r="C9" s="8" t="n">
        <v>89.36170212765957</v>
      </c>
    </row>
    <row r="10">
      <c r="A10" t="inlineStr">
        <is>
          <t>% Intersections GEH&lt;5 (hourly-equivalent)</t>
        </is>
      </c>
      <c r="B10" s="8" t="n">
        <v>77.08333333333334</v>
      </c>
      <c r="C10" s="8" t="n">
        <v>82.97872340425532</v>
      </c>
    </row>
    <row r="13" ht="45" customHeight="1">
      <c r="A13" s="9" t="inlineStr">
        <is>
          <t>Note: counts are 15-minute samples, not hourly volumes. GEH scales with sqrt(volume), so scaling to an hourly-equivalent basis (x4 volume) roughly doubles GEH. Both the as-collected and hourly-equivalent figures are shown since the conventional GEH&lt;5 threshold was calibrated for hourly counts.</t>
        </is>
      </c>
    </row>
  </sheetData>
  <mergeCells count="2">
    <mergeCell ref="A1:C1"/>
    <mergeCell ref="A13:C1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5" customWidth="1" min="1" max="1"/>
    <col width="20" customWidth="1" min="2" max="2"/>
    <col width="20" customWidth="1" min="3" max="3"/>
    <col width="21" customWidth="1" min="4" max="4"/>
    <col width="21" customWidth="1" min="5" max="5"/>
    <col width="15" customWidth="1" min="6" max="6"/>
  </cols>
  <sheetData>
    <row r="1">
      <c r="A1" s="10" t="inlineStr">
        <is>
          <t>Progress at repeated intersections (measured in both Baseline and 1st Calibration)</t>
        </is>
      </c>
    </row>
    <row r="2" ht="28" customHeight="1">
      <c r="A2" s="9" t="inlineStr">
        <is>
          <t>16 intersections have comparisons recorded in both rounds. Sorted below by Baseline GEH (highest first), so the top 5 rows are the intersections that most needed calibration — the chart shows the change for those 5; the full table below has all 16.</t>
        </is>
      </c>
    </row>
    <row r="3"/>
    <row r="4">
      <c r="A4" s="5" t="inlineStr">
        <is>
          <t>Intersection</t>
        </is>
      </c>
      <c r="B4" s="5" t="inlineStr">
        <is>
          <t>Baseline GEH</t>
        </is>
      </c>
      <c r="C4" s="5" t="inlineStr">
        <is>
          <t>Calib. GEH</t>
        </is>
      </c>
      <c r="D4" s="5" t="inlineStr">
        <is>
          <t>Baseline % Diff</t>
        </is>
      </c>
      <c r="E4" s="5" t="inlineStr">
        <is>
          <t>Calib. % Diff</t>
        </is>
      </c>
    </row>
    <row r="5">
      <c r="A5" t="inlineStr">
        <is>
          <t>CSAH 109 (85th Ave N) at Edinbrook Pkwy N</t>
        </is>
      </c>
      <c r="B5" s="7" t="n">
        <v>8.318580770747719</v>
      </c>
      <c r="C5" s="7" t="n">
        <v>0.1380131118684708</v>
      </c>
      <c r="D5" s="6" t="n">
        <v>0.594488188976378</v>
      </c>
      <c r="E5" s="6" t="n">
        <v>0.009569377990430601</v>
      </c>
    </row>
    <row r="6">
      <c r="A6" t="inlineStr">
        <is>
          <t>CSAH 136 (Silver Lake Rd) at 33rd Ave NE</t>
        </is>
      </c>
      <c r="B6" s="7" t="n">
        <v>7.468388315716769</v>
      </c>
      <c r="C6" s="7" t="n">
        <v>2.962451586606113</v>
      </c>
      <c r="D6" s="6" t="n">
        <v>0.6477272727272727</v>
      </c>
      <c r="E6" s="6" t="n">
        <v>-0.1891891891891892</v>
      </c>
    </row>
    <row r="7">
      <c r="A7" t="inlineStr">
        <is>
          <t>CSAH 121 (Maple Grove Pkwy) at Hospital Dr</t>
        </is>
      </c>
      <c r="B7" s="7" t="n">
        <v>5.436273781341253</v>
      </c>
      <c r="C7" s="7" t="n">
        <v>0.6575959492214292</v>
      </c>
      <c r="D7" s="6" t="n">
        <v>0.2948717948717949</v>
      </c>
      <c r="E7" s="6" t="n">
        <v>-0.0353982300884955</v>
      </c>
    </row>
    <row r="8">
      <c r="A8" t="inlineStr">
        <is>
          <t>CSAH 121 (Maple Grove Pkwy) at 99th Ave / Grove Cir</t>
        </is>
      </c>
      <c r="B8" s="7" t="n">
        <v>4.778496453589155</v>
      </c>
      <c r="C8" s="7" t="n">
        <v>0.3741888374667286</v>
      </c>
      <c r="D8" s="6" t="n">
        <v>-0.1778115501519757</v>
      </c>
      <c r="E8" s="6" t="n">
        <v>0.0156794425087108</v>
      </c>
    </row>
    <row r="9">
      <c r="A9" t="inlineStr">
        <is>
          <t>CSAH 152 (Brooklyn Blvd) at 65th Ave N</t>
        </is>
      </c>
      <c r="B9" s="7" t="n">
        <v>3.23443016025056</v>
      </c>
      <c r="C9" s="7" t="n">
        <v>0.040144782295185</v>
      </c>
      <c r="D9" s="6" t="n">
        <v>-0.1428571428571428</v>
      </c>
      <c r="E9" s="6" t="n">
        <v>-0.001610305958132</v>
      </c>
    </row>
    <row r="10">
      <c r="A10" t="inlineStr">
        <is>
          <t>CSAH 19 (Manitou Rd) at Smithtown Rd</t>
        </is>
      </c>
      <c r="B10" s="7" t="n">
        <v>2.643825026636627</v>
      </c>
      <c r="C10" s="7" t="n">
        <v>1.718128361183233</v>
      </c>
      <c r="D10" s="6" t="n">
        <v>-0.1331521739130435</v>
      </c>
      <c r="E10" s="6" t="n">
        <v>-0.1074380165289256</v>
      </c>
    </row>
    <row r="11">
      <c r="A11" t="inlineStr">
        <is>
          <t>CSAH 130 (West Broadway) at 76th Ave N</t>
        </is>
      </c>
      <c r="B11" s="7" t="n">
        <v>2.528388665674838</v>
      </c>
      <c r="C11" s="7" t="n">
        <v>1.487410293271824</v>
      </c>
      <c r="D11" s="6" t="n">
        <v>0.1493506493506493</v>
      </c>
      <c r="E11" s="6" t="n">
        <v>-0.0847457627118644</v>
      </c>
    </row>
    <row r="12">
      <c r="A12" t="inlineStr">
        <is>
          <t>CSAH 73 (Hopkins Crossroad) at Wayzata Blvd / North Frontage Road</t>
        </is>
      </c>
      <c r="B12" s="7" t="n">
        <v>2.344195174817805</v>
      </c>
      <c r="C12" s="7" t="n">
        <v>0.2880092164423916</v>
      </c>
      <c r="D12" s="6" t="n">
        <v>-0.1150895140664961</v>
      </c>
      <c r="E12" s="6" t="n">
        <v>-0.0137299771167048</v>
      </c>
    </row>
    <row r="13">
      <c r="A13" t="inlineStr">
        <is>
          <t>CSAH 81 (Main St) at John Milless Dr / Industrial Blvd</t>
        </is>
      </c>
      <c r="B13" s="7" t="n">
        <v>2.067642258387683</v>
      </c>
      <c r="C13" s="7" t="n">
        <v>1.367889512488888</v>
      </c>
      <c r="D13" s="6" t="n">
        <v>-0.0947136563876652</v>
      </c>
      <c r="E13" s="6" t="n">
        <v>0.0691358024691358</v>
      </c>
    </row>
    <row r="14">
      <c r="A14" t="inlineStr">
        <is>
          <t xml:space="preserve">CSAH 28 (E Bush Lake Rd) at 78th St W </t>
        </is>
      </c>
      <c r="B14" s="7" t="n">
        <v>1.959727420194399</v>
      </c>
      <c r="C14" s="7" t="n">
        <v>0.5985056016645798</v>
      </c>
      <c r="D14" s="6" t="n">
        <v>0.1197183098591549</v>
      </c>
      <c r="E14" s="6" t="n">
        <v>0.0303030303030303</v>
      </c>
    </row>
    <row r="15">
      <c r="A15" t="inlineStr">
        <is>
          <t>CSAH 101 (County Rd 101) at Hutchins Dr</t>
        </is>
      </c>
      <c r="B15" s="7" t="n">
        <v>1.629376339780705</v>
      </c>
      <c r="C15" s="7" t="n">
        <v>0.4432422071779362</v>
      </c>
      <c r="D15" s="6" t="n">
        <v>-0.0847457627118644</v>
      </c>
      <c r="E15" s="6" t="n">
        <v>-0.0194552529182879</v>
      </c>
    </row>
    <row r="16">
      <c r="A16" t="inlineStr">
        <is>
          <t>CSAH 1 (Pioneer Trail) at Staring Lake Parkway</t>
        </is>
      </c>
      <c r="B16" s="7" t="n">
        <v>0.9203579866168444</v>
      </c>
      <c r="C16" s="7" t="n">
        <v>0.9114654303753</v>
      </c>
      <c r="D16" s="6" t="n">
        <v>-0.06818181818181809</v>
      </c>
      <c r="E16" s="6" t="n">
        <v>0.09677419354838709</v>
      </c>
    </row>
    <row r="17">
      <c r="A17" t="inlineStr">
        <is>
          <t>CSAH 1 (Pioneer Trail) at Dell Rd</t>
        </is>
      </c>
      <c r="B17" s="7" t="n">
        <v>0.8098311912155414</v>
      </c>
      <c r="C17" s="7" t="n">
        <v>1.046433287139887</v>
      </c>
      <c r="D17" s="6" t="n">
        <v>-0.0578947368421052</v>
      </c>
      <c r="E17" s="6" t="n">
        <v>0.1047619047619047</v>
      </c>
    </row>
    <row r="18">
      <c r="A18" t="inlineStr">
        <is>
          <t>CSAH 1 (Pioneer Trail) at Bennett Place</t>
        </is>
      </c>
      <c r="B18" s="7" t="n">
        <v>0.5492503779276181</v>
      </c>
      <c r="C18" s="7" t="n">
        <v>0.5492503779276181</v>
      </c>
      <c r="D18" s="6" t="n">
        <v>-0.0329670329670329</v>
      </c>
      <c r="E18" s="6" t="n">
        <v>-0.0329670329670329</v>
      </c>
    </row>
    <row r="19">
      <c r="A19" t="inlineStr">
        <is>
          <t>CSAH 1 (Pioneer Trail) at Homeward Hills Rd</t>
        </is>
      </c>
      <c r="B19" s="7" t="n">
        <v>0.3090157215747628</v>
      </c>
      <c r="C19" s="7" t="n">
        <v>0.067040152315399</v>
      </c>
      <c r="D19" s="6" t="n">
        <v>-0.0157894736842105</v>
      </c>
      <c r="E19" s="6" t="n">
        <v>-0.0044843049327354</v>
      </c>
    </row>
    <row r="20">
      <c r="A20" t="inlineStr">
        <is>
          <t>CSAH 1 (Pioneer Trail) at Mitchell Rd</t>
        </is>
      </c>
      <c r="B20" s="7" t="n">
        <v>0.1820691387103213</v>
      </c>
      <c r="C20" s="7" t="n">
        <v>5.883484054145521</v>
      </c>
      <c r="D20" s="6" t="n">
        <v>-0.0109890109890109</v>
      </c>
      <c r="E20" s="6" t="n">
        <v>-0.375</v>
      </c>
    </row>
  </sheetData>
  <mergeCells count="2">
    <mergeCell ref="A2:F2"/>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2" customWidth="1" min="3" max="3"/>
    <col width="13" customWidth="1" min="4" max="4"/>
    <col width="14" customWidth="1" min="5" max="5"/>
    <col width="14" customWidth="1" min="6" max="6"/>
    <col width="21" customWidth="1" min="7" max="7"/>
    <col width="20" customWidth="1" min="8" max="8"/>
    <col width="20" customWidth="1" min="9" max="9"/>
  </cols>
  <sheetData>
    <row r="1">
      <c r="A1" s="5" t="inlineStr">
        <is>
          <t>ID</t>
        </is>
      </c>
      <c r="B1" s="5" t="inlineStr">
        <is>
          <t>Intersection</t>
        </is>
      </c>
      <c r="C1" s="5" t="inlineStr">
        <is>
          <t>Date</t>
        </is>
      </c>
      <c r="D1" s="5" t="inlineStr">
        <is>
          <t>Time of Day</t>
        </is>
      </c>
      <c r="E1" s="5" t="inlineStr">
        <is>
          <t>Manual_Total</t>
        </is>
      </c>
      <c r="F1" s="5" t="inlineStr">
        <is>
          <t>Vision_Total</t>
        </is>
      </c>
      <c r="G1" s="5" t="inlineStr">
        <is>
          <t>Pct_Diff</t>
        </is>
      </c>
      <c r="H1" s="5" t="inlineStr">
        <is>
          <t>GEH_15min</t>
        </is>
      </c>
      <c r="I1" s="5" t="inlineStr">
        <is>
          <t>GEH_Hourly_Equiv</t>
        </is>
      </c>
    </row>
    <row r="2">
      <c r="A2" t="n">
        <v>8051900</v>
      </c>
      <c r="B2" t="inlineStr">
        <is>
          <t>CSAH 109 (85th Ave N) at Edinbrook Pkwy N</t>
        </is>
      </c>
      <c r="C2" t="inlineStr">
        <is>
          <t>2025-06-10</t>
        </is>
      </c>
      <c r="D2" t="inlineStr">
        <is>
          <t>07:45:00</t>
        </is>
      </c>
      <c r="E2" t="n">
        <v>254</v>
      </c>
      <c r="F2" t="n">
        <v>405</v>
      </c>
      <c r="G2" s="6" t="n">
        <v>0.594488188976378</v>
      </c>
      <c r="H2" s="7" t="n">
        <v>8.318580770747719</v>
      </c>
      <c r="I2" s="7" t="n">
        <v>16.63716154149544</v>
      </c>
    </row>
    <row r="3">
      <c r="A3" t="n">
        <v>8014800</v>
      </c>
      <c r="B3" t="inlineStr">
        <is>
          <t>CSAH 136 (Silver Lake Rd) at 33rd Ave NE</t>
        </is>
      </c>
      <c r="C3" t="inlineStr">
        <is>
          <t>2025-03-31</t>
        </is>
      </c>
      <c r="D3" t="inlineStr">
        <is>
          <t>07:45:00</t>
        </is>
      </c>
      <c r="E3" t="n">
        <v>176</v>
      </c>
      <c r="F3" t="n">
        <v>290</v>
      </c>
      <c r="G3" s="6" t="n">
        <v>0.6477272727272727</v>
      </c>
      <c r="H3" s="7" t="n">
        <v>7.468388315716769</v>
      </c>
      <c r="I3" s="7" t="n">
        <v>14.93677663143354</v>
      </c>
    </row>
    <row r="4">
      <c r="A4" t="n">
        <v>8002100</v>
      </c>
      <c r="B4" t="inlineStr">
        <is>
          <t>CSAH 3 (Excelsior Blvd) at Brookside Ave / Alabama Ave S BACKHAUL</t>
        </is>
      </c>
      <c r="C4" t="inlineStr">
        <is>
          <t>2025-03-11</t>
        </is>
      </c>
      <c r="D4" t="inlineStr">
        <is>
          <t>16:15:00</t>
        </is>
      </c>
      <c r="E4" t="n">
        <v>469</v>
      </c>
      <c r="F4" t="n">
        <v>345</v>
      </c>
      <c r="G4" s="6" t="n">
        <v>-0.2643923240938166</v>
      </c>
      <c r="H4" s="7" t="n">
        <v>6.14645180399796</v>
      </c>
      <c r="I4" s="7" t="n">
        <v>12.29290360799592</v>
      </c>
    </row>
    <row r="5">
      <c r="A5" t="n">
        <v>9010690</v>
      </c>
      <c r="B5" t="inlineStr">
        <is>
          <t>CSAH 121 (Maple Grove Pkwy) at Hospital Dr</t>
        </is>
      </c>
      <c r="C5" t="inlineStr">
        <is>
          <t>2025-06-12</t>
        </is>
      </c>
      <c r="D5" t="inlineStr">
        <is>
          <t>08:30:00</t>
        </is>
      </c>
      <c r="E5" t="n">
        <v>390</v>
      </c>
      <c r="F5" t="n">
        <v>505</v>
      </c>
      <c r="G5" s="6" t="n">
        <v>0.2948717948717949</v>
      </c>
      <c r="H5" s="7" t="n">
        <v>5.436273781341253</v>
      </c>
      <c r="I5" s="7" t="n">
        <v>10.87254756268251</v>
      </c>
    </row>
    <row r="6">
      <c r="A6" t="n">
        <v>9010695</v>
      </c>
      <c r="B6" t="inlineStr">
        <is>
          <t>CSAH 121 (Maple Grove Pkwy) at 99th Ave / Grove Cir</t>
        </is>
      </c>
      <c r="C6" t="inlineStr">
        <is>
          <t>2025-06-12</t>
        </is>
      </c>
      <c r="D6" t="inlineStr">
        <is>
          <t>15:15:00</t>
        </is>
      </c>
      <c r="E6" t="n">
        <v>658</v>
      </c>
      <c r="F6" t="n">
        <v>541</v>
      </c>
      <c r="G6" s="6" t="n">
        <v>-0.1778115501519757</v>
      </c>
      <c r="H6" s="7" t="n">
        <v>4.778496453589155</v>
      </c>
      <c r="I6" s="7" t="n">
        <v>9.55699290717831</v>
      </c>
    </row>
    <row r="7">
      <c r="A7" t="n">
        <v>8061200</v>
      </c>
      <c r="B7" t="inlineStr">
        <is>
          <t>CSAH 61 (Flying Cloud Dr) at Viking Drive</t>
        </is>
      </c>
      <c r="C7" t="inlineStr">
        <is>
          <t>2026-02-24</t>
        </is>
      </c>
      <c r="D7" t="inlineStr">
        <is>
          <t>15:30:00</t>
        </is>
      </c>
      <c r="E7" t="n">
        <v>322</v>
      </c>
      <c r="F7" t="n">
        <v>250</v>
      </c>
      <c r="G7" s="6" t="n">
        <v>-0.2236024844720497</v>
      </c>
      <c r="H7" s="7" t="n">
        <v>4.257449251121395</v>
      </c>
      <c r="I7" s="7" t="n">
        <v>8.51489850224279</v>
      </c>
    </row>
    <row r="8">
      <c r="A8" t="n">
        <v>8037400</v>
      </c>
      <c r="B8" t="inlineStr">
        <is>
          <t xml:space="preserve">CSAH 1 (Pioneer Trail) at Franlo Rd </t>
        </is>
      </c>
      <c r="C8" t="inlineStr">
        <is>
          <t>2025-04-30</t>
        </is>
      </c>
      <c r="D8" t="inlineStr">
        <is>
          <t>07:45:00</t>
        </is>
      </c>
      <c r="E8" t="n">
        <v>308</v>
      </c>
      <c r="F8" t="n">
        <v>245</v>
      </c>
      <c r="G8" s="6" t="n">
        <v>-0.2045454545454545</v>
      </c>
      <c r="H8" s="7" t="n">
        <v>3.788724109742861</v>
      </c>
      <c r="I8" s="7" t="n">
        <v>7.577448219485722</v>
      </c>
    </row>
    <row r="9">
      <c r="A9" t="n">
        <v>8026100</v>
      </c>
      <c r="B9" t="inlineStr">
        <is>
          <t>CSAH 152 (Brooklyn Blvd) at 65th Ave N</t>
        </is>
      </c>
      <c r="C9" t="inlineStr">
        <is>
          <t>3035-03-03</t>
        </is>
      </c>
      <c r="D9" t="inlineStr">
        <is>
          <t>09:15:00</t>
        </is>
      </c>
      <c r="E9" t="n">
        <v>476</v>
      </c>
      <c r="F9" t="n">
        <v>408</v>
      </c>
      <c r="G9" s="6" t="n">
        <v>-0.1428571428571428</v>
      </c>
      <c r="H9" s="7" t="n">
        <v>3.23443016025056</v>
      </c>
      <c r="I9" s="7" t="n">
        <v>6.468860320501119</v>
      </c>
    </row>
    <row r="10">
      <c r="A10" t="n">
        <v>8054100</v>
      </c>
      <c r="B10" t="inlineStr">
        <is>
          <t>CSAH 19 (Manitou Rd) at Smithtown Rd</t>
        </is>
      </c>
      <c r="C10" t="inlineStr">
        <is>
          <t>2025-06-19</t>
        </is>
      </c>
      <c r="D10" t="inlineStr">
        <is>
          <t>15:45:00</t>
        </is>
      </c>
      <c r="E10" t="n">
        <v>368</v>
      </c>
      <c r="F10" t="n">
        <v>319</v>
      </c>
      <c r="G10" s="6" t="n">
        <v>-0.1331521739130435</v>
      </c>
      <c r="H10" s="7" t="n">
        <v>2.643825026636627</v>
      </c>
      <c r="I10" s="7" t="n">
        <v>5.287650053273254</v>
      </c>
    </row>
    <row r="11">
      <c r="A11" t="n">
        <v>8057895</v>
      </c>
      <c r="B11" t="inlineStr">
        <is>
          <t>CSAH 81 (Industrial Blvd) at John Deere Ln</t>
        </is>
      </c>
      <c r="C11" t="inlineStr">
        <is>
          <t>2026-02-17</t>
        </is>
      </c>
      <c r="D11" t="inlineStr">
        <is>
          <t>16:00:00</t>
        </is>
      </c>
      <c r="E11" t="n">
        <v>310</v>
      </c>
      <c r="F11" t="n">
        <v>266</v>
      </c>
      <c r="G11" s="6" t="n">
        <v>-0.1419354838709677</v>
      </c>
      <c r="H11" s="7" t="n">
        <v>2.592724864350674</v>
      </c>
      <c r="I11" s="7" t="n">
        <v>5.185449728701348</v>
      </c>
    </row>
    <row r="12">
      <c r="A12" t="n">
        <v>8045400</v>
      </c>
      <c r="B12" t="inlineStr">
        <is>
          <t>CSAH 130 (West Broadway) at 76th Ave N</t>
        </is>
      </c>
      <c r="C12" t="inlineStr">
        <is>
          <t>2025-06-13</t>
        </is>
      </c>
      <c r="D12" t="inlineStr">
        <is>
          <t>15:00:00</t>
        </is>
      </c>
      <c r="E12" t="n">
        <v>308</v>
      </c>
      <c r="F12" t="n">
        <v>354</v>
      </c>
      <c r="G12" s="6" t="n">
        <v>0.1493506493506493</v>
      </c>
      <c r="H12" s="7" t="n">
        <v>2.528388665674838</v>
      </c>
      <c r="I12" s="7" t="n">
        <v>5.056777331349677</v>
      </c>
    </row>
    <row r="13">
      <c r="A13" t="n">
        <v>8054900</v>
      </c>
      <c r="B13" t="inlineStr">
        <is>
          <t>CSAH 28 (E Bush Lake Rd) at American Blvd / Green Valley Dr</t>
        </is>
      </c>
      <c r="C13" t="inlineStr">
        <is>
          <t>2025-06-24</t>
        </is>
      </c>
      <c r="D13" t="inlineStr">
        <is>
          <t>08:00:00</t>
        </is>
      </c>
      <c r="E13" t="n">
        <v>356</v>
      </c>
      <c r="F13" t="n">
        <v>312</v>
      </c>
      <c r="G13" s="6" t="n">
        <v>-0.1235955056179775</v>
      </c>
      <c r="H13" s="7" t="n">
        <v>2.407572882724164</v>
      </c>
      <c r="I13" s="7" t="n">
        <v>4.815145765448329</v>
      </c>
    </row>
    <row r="14">
      <c r="A14" t="n">
        <v>8058010</v>
      </c>
      <c r="B14" t="inlineStr">
        <is>
          <t>CSAH 73 (Hopkins Crossroad) at Wayzata Blvd / North Frontage Road</t>
        </is>
      </c>
      <c r="C14" t="inlineStr">
        <is>
          <t>2026-03-09</t>
        </is>
      </c>
      <c r="D14" t="inlineStr">
        <is>
          <t>16:00:00</t>
        </is>
      </c>
      <c r="E14" t="n">
        <v>391</v>
      </c>
      <c r="F14" t="n">
        <v>346</v>
      </c>
      <c r="G14" s="6" t="n">
        <v>-0.1150895140664961</v>
      </c>
      <c r="H14" s="7" t="n">
        <v>2.344195174817805</v>
      </c>
      <c r="I14" s="7" t="n">
        <v>4.688390349635609</v>
      </c>
    </row>
    <row r="15">
      <c r="A15" t="n">
        <v>8037100</v>
      </c>
      <c r="B15" t="inlineStr">
        <is>
          <t>CSAH 103 (West Broadway) at Dragon Star Supermarket/Rainbow Foods Driveway</t>
        </is>
      </c>
      <c r="C15" t="inlineStr">
        <is>
          <t>2025-06-09</t>
        </is>
      </c>
      <c r="D15" t="inlineStr">
        <is>
          <t>16:00:00</t>
        </is>
      </c>
      <c r="E15" t="n">
        <v>421</v>
      </c>
      <c r="F15" t="n">
        <v>375</v>
      </c>
      <c r="G15" s="6" t="n">
        <v>-0.1092636579572446</v>
      </c>
      <c r="H15" s="7" t="n">
        <v>2.305771652738593</v>
      </c>
      <c r="I15" s="7" t="n">
        <v>4.611543305477187</v>
      </c>
    </row>
    <row r="16">
      <c r="A16" t="n">
        <v>9010660</v>
      </c>
      <c r="B16" t="inlineStr">
        <is>
          <t>CSAH 61 (Zachary Ln N) at 89th Ave N</t>
        </is>
      </c>
      <c r="C16" t="inlineStr">
        <is>
          <t>2026-02-26</t>
        </is>
      </c>
      <c r="D16" t="inlineStr">
        <is>
          <t>15:00:00</t>
        </is>
      </c>
      <c r="E16" t="n">
        <v>342</v>
      </c>
      <c r="F16" t="n">
        <v>302</v>
      </c>
      <c r="G16" s="6" t="n">
        <v>-0.1169590643274853</v>
      </c>
      <c r="H16" s="7" t="n">
        <v>2.229112850301412</v>
      </c>
      <c r="I16" s="7" t="n">
        <v>4.458225700602823</v>
      </c>
    </row>
    <row r="17">
      <c r="A17" t="n">
        <v>8027600</v>
      </c>
      <c r="B17" t="inlineStr">
        <is>
          <t>CSAH 17 (France Ave) at I-494 N Ramp / 78th St</t>
        </is>
      </c>
      <c r="C17" t="inlineStr">
        <is>
          <t>2026-04-03</t>
        </is>
      </c>
      <c r="D17" t="inlineStr">
        <is>
          <t>07:45:00</t>
        </is>
      </c>
      <c r="E17" t="n">
        <v>647</v>
      </c>
      <c r="F17" t="n">
        <v>594</v>
      </c>
      <c r="G17" s="6" t="n">
        <v>-0.0819165378670788</v>
      </c>
      <c r="H17" s="7" t="n">
        <v>2.127673461644806</v>
      </c>
      <c r="I17" s="7" t="n">
        <v>4.255346923289611</v>
      </c>
    </row>
    <row r="18">
      <c r="A18" t="n">
        <v>8057890</v>
      </c>
      <c r="B18" t="inlineStr">
        <is>
          <t>CSAH 81 (Main St) at John Milless Dr / Industrial Blvd</t>
        </is>
      </c>
      <c r="C18" t="inlineStr">
        <is>
          <t>2026-03-06</t>
        </is>
      </c>
      <c r="D18" t="inlineStr">
        <is>
          <t>08:00:00</t>
        </is>
      </c>
      <c r="E18" t="n">
        <v>454</v>
      </c>
      <c r="F18" t="n">
        <v>411</v>
      </c>
      <c r="G18" s="6" t="n">
        <v>-0.0947136563876652</v>
      </c>
      <c r="H18" s="7" t="n">
        <v>2.067642258387683</v>
      </c>
      <c r="I18" s="7" t="n">
        <v>4.135284516775367</v>
      </c>
    </row>
    <row r="19">
      <c r="A19" t="n">
        <v>8057800</v>
      </c>
      <c r="B19" t="inlineStr">
        <is>
          <t>CSAH 61 (Flying Cloud Dr) at Charlson Rd</t>
        </is>
      </c>
      <c r="C19" t="inlineStr">
        <is>
          <t>2026-02-24</t>
        </is>
      </c>
      <c r="D19" t="inlineStr">
        <is>
          <t>15:00:00</t>
        </is>
      </c>
      <c r="E19" t="n">
        <v>136</v>
      </c>
      <c r="F19" t="n">
        <v>114</v>
      </c>
      <c r="G19" s="6" t="n">
        <v>-0.1617647058823529</v>
      </c>
      <c r="H19" s="7" t="n">
        <v>1.967739820199815</v>
      </c>
      <c r="I19" s="7" t="n">
        <v>3.93547964039963</v>
      </c>
    </row>
    <row r="20">
      <c r="A20" t="n">
        <v>8030800</v>
      </c>
      <c r="B20" t="inlineStr">
        <is>
          <t xml:space="preserve">CSAH 28 (E Bush Lake Rd) at 78th St W </t>
        </is>
      </c>
      <c r="C20" t="inlineStr">
        <is>
          <t>2025-04-04</t>
        </is>
      </c>
      <c r="D20" t="inlineStr">
        <is>
          <t>19:45:00</t>
        </is>
      </c>
      <c r="E20" t="n">
        <v>284</v>
      </c>
      <c r="F20" t="n">
        <v>318</v>
      </c>
      <c r="G20" s="6" t="n">
        <v>0.1197183098591549</v>
      </c>
      <c r="H20" s="7" t="n">
        <v>1.959727420194399</v>
      </c>
      <c r="I20" s="7" t="n">
        <v>3.919454840388798</v>
      </c>
    </row>
    <row r="21" ht="28" customHeight="1">
      <c r="A21" t="n">
        <v>8036600</v>
      </c>
      <c r="B21" t="inlineStr">
        <is>
          <t>CSAH 15 (Lynwood Blvd) at CSAH 110 (Commerce Blvd)</t>
        </is>
      </c>
      <c r="C21" t="inlineStr">
        <is>
          <t>2025-04-18</t>
        </is>
      </c>
      <c r="D21" t="inlineStr">
        <is>
          <t>07:45:00</t>
        </is>
      </c>
      <c r="E21" t="n">
        <v>433</v>
      </c>
      <c r="F21" t="n">
        <v>396</v>
      </c>
      <c r="G21" s="6" t="n">
        <v>-0.0854503464203233</v>
      </c>
      <c r="H21" s="7" t="n">
        <v>1.817353687926626</v>
      </c>
      <c r="I21" s="7" t="n">
        <v>3.634707375853251</v>
      </c>
      <c r="K21" s="9" t="inlineStr">
        <is>
          <t>Sorted highest to lowest GEH. Conventional threshold is GEH &lt; 5 (on hourly volumes) — see the Overview tab for why that needs care on 15-minute counts.</t>
        </is>
      </c>
    </row>
    <row r="22" ht="42" customHeight="1">
      <c r="A22" t="n">
        <v>8049100</v>
      </c>
      <c r="B22" t="inlineStr">
        <is>
          <t>CSAH 101 (County Rd 101) at Hutchins Dr</t>
        </is>
      </c>
      <c r="C22" t="inlineStr">
        <is>
          <t>2025-06-09</t>
        </is>
      </c>
      <c r="D22" t="inlineStr">
        <is>
          <t>12:30:00</t>
        </is>
      </c>
      <c r="E22" t="n">
        <v>354</v>
      </c>
      <c r="F22" t="n">
        <v>324</v>
      </c>
      <c r="G22" s="6" t="n">
        <v>-0.0847457627118644</v>
      </c>
      <c r="H22" s="7" t="n">
        <v>1.629376339780705</v>
      </c>
      <c r="I22" s="7" t="n">
        <v>3.258752679561411</v>
      </c>
      <c r="K22" s="9" t="inlineStr">
        <is>
          <t>How to read this: each point is one intersection — x is the manually counted Total, y is the Vision Camera's Total for the same window. Points on the 1:1 line are a perfect match; points below it mean Vision undercounted. On average, Vision's Total was 2.1% lower than (undercounted) the manual count in Baseline.</t>
        </is>
      </c>
    </row>
    <row r="23">
      <c r="A23" t="n">
        <v>8052400</v>
      </c>
      <c r="B23" t="inlineStr">
        <is>
          <t>CSAH 61 (Northwest Blvd) at W Medicine Lake Dr</t>
        </is>
      </c>
      <c r="C23" t="inlineStr">
        <is>
          <t>2026-02-26</t>
        </is>
      </c>
      <c r="D23" t="inlineStr">
        <is>
          <t>08:00:00</t>
        </is>
      </c>
      <c r="E23" t="n">
        <v>208</v>
      </c>
      <c r="F23" t="n">
        <v>186</v>
      </c>
      <c r="G23" s="6" t="n">
        <v>-0.1057692307692307</v>
      </c>
      <c r="H23" s="7" t="n">
        <v>1.567435099734012</v>
      </c>
      <c r="I23" s="7" t="n">
        <v>3.134870199468024</v>
      </c>
    </row>
    <row r="24">
      <c r="A24" t="n">
        <v>8056450</v>
      </c>
      <c r="B24" t="inlineStr">
        <is>
          <t>CSAH 130 (Elm Creek Blvd) at Fountains Dr-BACKHAUL</t>
        </is>
      </c>
      <c r="C24" t="inlineStr">
        <is>
          <t>2025-06-13</t>
        </is>
      </c>
      <c r="D24" t="inlineStr">
        <is>
          <t>07:45:00</t>
        </is>
      </c>
      <c r="E24" t="n">
        <v>214</v>
      </c>
      <c r="F24" t="n">
        <v>193</v>
      </c>
      <c r="G24" s="6" t="n">
        <v>-0.0981308411214953</v>
      </c>
      <c r="H24" s="7" t="n">
        <v>1.472099238188841</v>
      </c>
      <c r="I24" s="7" t="n">
        <v>2.944198476377683</v>
      </c>
    </row>
    <row r="25">
      <c r="A25" t="n">
        <v>9010810</v>
      </c>
      <c r="B25" t="inlineStr">
        <is>
          <t>CSAH 103 (West Broadway) at Oak Grove Pkwy</t>
        </is>
      </c>
      <c r="C25" t="inlineStr">
        <is>
          <t>2025-06-10</t>
        </is>
      </c>
      <c r="D25" t="inlineStr">
        <is>
          <t>15:00:00</t>
        </is>
      </c>
      <c r="E25" t="n">
        <v>252</v>
      </c>
      <c r="F25" t="n">
        <v>268</v>
      </c>
      <c r="G25" s="6" t="n">
        <v>0.06349206349206341</v>
      </c>
      <c r="H25" s="7" t="n">
        <v>0.9922778767136676</v>
      </c>
      <c r="I25" s="7" t="n">
        <v>1.984555753427336</v>
      </c>
    </row>
    <row r="26">
      <c r="A26" t="n">
        <v>8052000</v>
      </c>
      <c r="B26" t="inlineStr">
        <is>
          <t>CSAH 1 (Pioneer Trail) at Staring Lake Parkway</t>
        </is>
      </c>
      <c r="C26" t="inlineStr">
        <is>
          <t>2025-06-04</t>
        </is>
      </c>
      <c r="D26" t="inlineStr">
        <is>
          <t>08:30:00</t>
        </is>
      </c>
      <c r="E26" t="n">
        <v>176</v>
      </c>
      <c r="F26" t="n">
        <v>164</v>
      </c>
      <c r="G26" s="6" t="n">
        <v>-0.06818181818181809</v>
      </c>
      <c r="H26" s="7" t="n">
        <v>0.9203579866168444</v>
      </c>
      <c r="I26" s="7" t="n">
        <v>1.840715973233689</v>
      </c>
    </row>
    <row r="27">
      <c r="A27" t="n">
        <v>8059100</v>
      </c>
      <c r="B27" t="inlineStr">
        <is>
          <t>CR 101 (Brockton Ln) at Dayton Parkway</t>
        </is>
      </c>
      <c r="C27" t="inlineStr">
        <is>
          <t>2025-03-04</t>
        </is>
      </c>
      <c r="D27" t="inlineStr">
        <is>
          <t>08:45:00</t>
        </is>
      </c>
      <c r="E27" t="n">
        <v>207</v>
      </c>
      <c r="F27" t="n">
        <v>194</v>
      </c>
      <c r="G27" s="6" t="n">
        <v>-0.0628019323671497</v>
      </c>
      <c r="H27" s="7" t="n">
        <v>0.9180919170103832</v>
      </c>
      <c r="I27" s="7" t="n">
        <v>1.836183834020766</v>
      </c>
    </row>
    <row r="28">
      <c r="A28" t="n">
        <v>8058015</v>
      </c>
      <c r="B28" t="inlineStr">
        <is>
          <t>CSAH 73 (Hopkins Crossroad) at S Frontage Rd</t>
        </is>
      </c>
      <c r="C28" t="inlineStr">
        <is>
          <t>2026-03-03</t>
        </is>
      </c>
      <c r="D28" t="inlineStr">
        <is>
          <t>15:00:00</t>
        </is>
      </c>
      <c r="E28" t="n">
        <v>282</v>
      </c>
      <c r="F28" t="n">
        <v>267</v>
      </c>
      <c r="G28" s="6" t="n">
        <v>-0.0531914893617021</v>
      </c>
      <c r="H28" s="7" t="n">
        <v>0.9053574604251852</v>
      </c>
      <c r="I28" s="7" t="n">
        <v>1.81071492085037</v>
      </c>
    </row>
    <row r="29">
      <c r="A29" t="n">
        <v>8059010</v>
      </c>
      <c r="B29" t="inlineStr">
        <is>
          <t>CSAH 81 (Bottineau) at 35th Ave/HyVee</t>
        </is>
      </c>
      <c r="C29" t="inlineStr">
        <is>
          <t>2026-03-09</t>
        </is>
      </c>
      <c r="D29" t="inlineStr">
        <is>
          <t>08:00:00</t>
        </is>
      </c>
      <c r="E29" t="n">
        <v>413</v>
      </c>
      <c r="F29" t="n">
        <v>431</v>
      </c>
      <c r="G29" s="6" t="n">
        <v>0.0435835351089588</v>
      </c>
      <c r="H29" s="7" t="n">
        <v>0.8762262903202239</v>
      </c>
      <c r="I29" s="7" t="n">
        <v>1.752452580640448</v>
      </c>
    </row>
    <row r="30">
      <c r="A30" t="n">
        <v>8025300</v>
      </c>
      <c r="B30" t="inlineStr">
        <is>
          <t>CSAH 130 (West Broadway) at 73rd Ave N</t>
        </is>
      </c>
      <c r="C30" t="inlineStr">
        <is>
          <t>2025-04-02</t>
        </is>
      </c>
      <c r="D30" t="inlineStr">
        <is>
          <t>07:45:00</t>
        </is>
      </c>
      <c r="E30" t="n">
        <v>174</v>
      </c>
      <c r="F30" t="n">
        <v>185</v>
      </c>
      <c r="G30" s="6" t="n">
        <v>0.06321839080459769</v>
      </c>
      <c r="H30" s="7" t="n">
        <v>0.8210327079482835</v>
      </c>
      <c r="I30" s="7" t="n">
        <v>1.642065415896567</v>
      </c>
    </row>
    <row r="31">
      <c r="A31" t="n">
        <v>8051400</v>
      </c>
      <c r="B31" t="inlineStr">
        <is>
          <t>CSAH 1 (Pioneer Trail) at Dell Rd</t>
        </is>
      </c>
      <c r="C31" t="inlineStr">
        <is>
          <t>2025-04-29</t>
        </is>
      </c>
      <c r="D31" t="inlineStr">
        <is>
          <t>08:15:00</t>
        </is>
      </c>
      <c r="E31" t="n">
        <v>190</v>
      </c>
      <c r="F31" t="n">
        <v>179</v>
      </c>
      <c r="G31" s="6" t="n">
        <v>-0.0578947368421052</v>
      </c>
      <c r="H31" s="7" t="n">
        <v>0.8098311912155414</v>
      </c>
      <c r="I31" s="7" t="n">
        <v>1.619662382431083</v>
      </c>
    </row>
    <row r="32">
      <c r="A32" t="n">
        <v>8032700</v>
      </c>
      <c r="B32" t="inlineStr">
        <is>
          <t>CSAH 153 (Kenzie Ter) at Kenzington Apts</t>
        </is>
      </c>
      <c r="C32" t="inlineStr">
        <is>
          <t>2025-04-07</t>
        </is>
      </c>
      <c r="D32" t="inlineStr">
        <is>
          <t>12:45:00</t>
        </is>
      </c>
      <c r="E32" t="n">
        <v>81</v>
      </c>
      <c r="F32" t="n">
        <v>74</v>
      </c>
      <c r="G32" s="6" t="n">
        <v>-0.08641975308641971</v>
      </c>
      <c r="H32" s="7" t="n">
        <v>0.7951465679458907</v>
      </c>
      <c r="I32" s="7" t="n">
        <v>1.590293135891781</v>
      </c>
    </row>
    <row r="33">
      <c r="A33" t="n">
        <v>8039900</v>
      </c>
      <c r="B33" t="inlineStr">
        <is>
          <t>CSAH 27 (Stinson Blvd NE) at 37th Ave NE</t>
        </is>
      </c>
      <c r="C33" t="inlineStr">
        <is>
          <t>2025-06-23</t>
        </is>
      </c>
      <c r="D33" t="inlineStr">
        <is>
          <t>15:45:00</t>
        </is>
      </c>
      <c r="E33" t="n">
        <v>308</v>
      </c>
      <c r="F33" t="n">
        <v>296</v>
      </c>
      <c r="G33" s="6" t="n">
        <v>-0.0389610389610389</v>
      </c>
      <c r="H33" s="7" t="n">
        <v>0.6905224051781231</v>
      </c>
      <c r="I33" s="7" t="n">
        <v>1.381044810356246</v>
      </c>
    </row>
    <row r="34">
      <c r="A34" t="n">
        <v>8057900</v>
      </c>
      <c r="B34" t="inlineStr">
        <is>
          <t>CSAH 81 (Industrial Blvd) at John Milless Dr / Memorial Dr</t>
        </is>
      </c>
      <c r="C34" t="inlineStr">
        <is>
          <t>2026-03-04</t>
        </is>
      </c>
      <c r="D34" t="inlineStr">
        <is>
          <t>15:00:00</t>
        </is>
      </c>
      <c r="E34" t="n">
        <v>158</v>
      </c>
      <c r="F34" t="n">
        <v>166</v>
      </c>
      <c r="G34" s="6" t="n">
        <v>0.050632911392405</v>
      </c>
      <c r="H34" s="7" t="n">
        <v>0.6285393610547089</v>
      </c>
      <c r="I34" s="7" t="n">
        <v>1.257078722109418</v>
      </c>
    </row>
    <row r="35">
      <c r="A35" t="n">
        <v>8042600</v>
      </c>
      <c r="B35" t="inlineStr">
        <is>
          <t>CSAH 152 (Brooklyn Blvd) at Jolly Lane</t>
        </is>
      </c>
      <c r="C35" t="inlineStr">
        <is>
          <t>2025-03-07</t>
        </is>
      </c>
      <c r="D35" t="inlineStr">
        <is>
          <t>08:30:00</t>
        </is>
      </c>
      <c r="E35" t="n">
        <v>242</v>
      </c>
      <c r="F35" t="n">
        <v>233</v>
      </c>
      <c r="G35" s="6" t="n">
        <v>-0.0371900826446281</v>
      </c>
      <c r="H35" s="7" t="n">
        <v>0.5839971160707451</v>
      </c>
      <c r="I35" s="7" t="n">
        <v>1.16799423214149</v>
      </c>
    </row>
    <row r="36">
      <c r="A36" t="n">
        <v>8035100</v>
      </c>
      <c r="B36" t="inlineStr">
        <is>
          <t>CSAH 101 (Central Ave) at Wayzata Blvd - Master Controller</t>
        </is>
      </c>
      <c r="C36" t="inlineStr">
        <is>
          <t>2025-06-05</t>
        </is>
      </c>
      <c r="D36" t="inlineStr">
        <is>
          <t>15:00:00</t>
        </is>
      </c>
      <c r="E36" t="n">
        <v>625</v>
      </c>
      <c r="F36" t="n">
        <v>639</v>
      </c>
      <c r="G36" s="6" t="n">
        <v>0.0224</v>
      </c>
      <c r="H36" s="7" t="n">
        <v>0.556890098923011</v>
      </c>
      <c r="I36" s="7" t="n">
        <v>1.113780197846022</v>
      </c>
    </row>
    <row r="37">
      <c r="A37" t="n">
        <v>8052100</v>
      </c>
      <c r="B37" t="inlineStr">
        <is>
          <t>CSAH 1 (Pioneer Trail) at Bennett Place</t>
        </is>
      </c>
      <c r="C37" t="inlineStr">
        <is>
          <t>2025-04-25</t>
        </is>
      </c>
      <c r="D37" t="inlineStr">
        <is>
          <t>07:45:00</t>
        </is>
      </c>
      <c r="E37" t="n">
        <v>273</v>
      </c>
      <c r="F37" t="n">
        <v>264</v>
      </c>
      <c r="G37" s="6" t="n">
        <v>-0.0329670329670329</v>
      </c>
      <c r="H37" s="7" t="n">
        <v>0.5492503779276181</v>
      </c>
      <c r="I37" s="7" t="n">
        <v>1.098500755855236</v>
      </c>
    </row>
    <row r="38">
      <c r="A38" t="n">
        <v>8057965</v>
      </c>
      <c r="B38" t="inlineStr">
        <is>
          <t>CSAH 144 (141st Ave N) at Northdale Blvd</t>
        </is>
      </c>
      <c r="C38" t="inlineStr">
        <is>
          <t>2025-06-18</t>
        </is>
      </c>
      <c r="D38" t="inlineStr">
        <is>
          <t>15:45:00</t>
        </is>
      </c>
      <c r="E38" t="n">
        <v>353</v>
      </c>
      <c r="F38" t="n">
        <v>343</v>
      </c>
      <c r="G38" s="6" t="n">
        <v>-0.0283286118980169</v>
      </c>
      <c r="H38" s="7" t="n">
        <v>0.5360562674188974</v>
      </c>
      <c r="I38" s="7" t="n">
        <v>1.072112534837795</v>
      </c>
    </row>
    <row r="39">
      <c r="A39" t="n">
        <v>8031700</v>
      </c>
      <c r="B39" t="inlineStr">
        <is>
          <t>CSAH 15 (Shoreline Dr) at CSAH 51 (Sunset Dr)</t>
        </is>
      </c>
      <c r="C39" t="inlineStr">
        <is>
          <t>2025-06-19</t>
        </is>
      </c>
      <c r="D39" t="inlineStr">
        <is>
          <t>12:45:00</t>
        </is>
      </c>
      <c r="E39" t="n">
        <v>369</v>
      </c>
      <c r="F39" t="n">
        <v>360</v>
      </c>
      <c r="G39" s="6" t="n">
        <v>-0.024390243902439</v>
      </c>
      <c r="H39" s="7" t="n">
        <v>0.4714045207910317</v>
      </c>
      <c r="I39" s="7" t="n">
        <v>0.9428090415820634</v>
      </c>
    </row>
    <row r="40">
      <c r="A40" t="n">
        <v>8048400</v>
      </c>
      <c r="B40" t="inlineStr">
        <is>
          <t>CSAH 8 (West Broadway) at 57th Ave N</t>
        </is>
      </c>
      <c r="C40" t="inlineStr">
        <is>
          <t>2026-03-03</t>
        </is>
      </c>
      <c r="D40" t="inlineStr">
        <is>
          <t>07:30:00</t>
        </is>
      </c>
      <c r="E40" t="n">
        <v>125</v>
      </c>
      <c r="F40" t="n">
        <v>120</v>
      </c>
      <c r="G40" s="6" t="n">
        <v>-0.04</v>
      </c>
      <c r="H40" s="7" t="n">
        <v>0.4517539514526256</v>
      </c>
      <c r="I40" s="7" t="n">
        <v>0.9035079029052512</v>
      </c>
    </row>
    <row r="41">
      <c r="A41" t="n">
        <v>8033150</v>
      </c>
      <c r="B41" t="inlineStr">
        <is>
          <t>CSAH 25 (Hwy 7) at Lynn Ave</t>
        </is>
      </c>
      <c r="C41" t="inlineStr">
        <is>
          <t>2025-06-23</t>
        </is>
      </c>
      <c r="D41" t="inlineStr">
        <is>
          <t>07:45:00</t>
        </is>
      </c>
      <c r="E41" t="n">
        <v>429</v>
      </c>
      <c r="F41" t="n">
        <v>420</v>
      </c>
      <c r="G41" s="6" t="n">
        <v>-0.0209790209790209</v>
      </c>
      <c r="H41" s="7" t="n">
        <v>0.436821154304661</v>
      </c>
      <c r="I41" s="7" t="n">
        <v>0.8736423086093221</v>
      </c>
    </row>
    <row r="42">
      <c r="A42" t="n">
        <v>8051500</v>
      </c>
      <c r="B42" t="inlineStr">
        <is>
          <t>CSAH 24 (County Rd 24) at Medina Rd</t>
        </is>
      </c>
      <c r="C42" t="inlineStr">
        <is>
          <t>2025-06-20</t>
        </is>
      </c>
      <c r="D42" t="inlineStr">
        <is>
          <t>15:00:00</t>
        </is>
      </c>
      <c r="E42" t="n">
        <v>255</v>
      </c>
      <c r="F42" t="n">
        <v>250</v>
      </c>
      <c r="G42" s="6" t="n">
        <v>-0.0196078431372549</v>
      </c>
      <c r="H42" s="7" t="n">
        <v>0.3146583877637763</v>
      </c>
      <c r="I42" s="7" t="n">
        <v>0.6293167755275526</v>
      </c>
    </row>
    <row r="43">
      <c r="A43" t="n">
        <v>8037300</v>
      </c>
      <c r="B43" t="inlineStr">
        <is>
          <t>CSAH 1 (Pioneer Trail) at Homeward Hills Rd</t>
        </is>
      </c>
      <c r="C43" t="inlineStr">
        <is>
          <t>2025-05-01</t>
        </is>
      </c>
      <c r="D43" t="inlineStr">
        <is>
          <t>07:45:00</t>
        </is>
      </c>
      <c r="E43" t="n">
        <v>380</v>
      </c>
      <c r="F43" t="n">
        <v>374</v>
      </c>
      <c r="G43" s="6" t="n">
        <v>-0.0157894736842105</v>
      </c>
      <c r="H43" s="7" t="n">
        <v>0.3090157215747628</v>
      </c>
      <c r="I43" s="7" t="n">
        <v>0.6180314431495256</v>
      </c>
    </row>
    <row r="44">
      <c r="A44" t="n">
        <v>8052900</v>
      </c>
      <c r="B44" t="inlineStr">
        <is>
          <t>CSAH 130 (77th Ave N) at Boone Ave N</t>
        </is>
      </c>
      <c r="C44" t="inlineStr">
        <is>
          <t>2025-06-12</t>
        </is>
      </c>
      <c r="D44" t="inlineStr">
        <is>
          <t>12:45:00</t>
        </is>
      </c>
      <c r="E44" t="n">
        <v>166</v>
      </c>
      <c r="F44" t="n">
        <v>170</v>
      </c>
      <c r="G44" s="6" t="n">
        <v>0.0240963855421686</v>
      </c>
      <c r="H44" s="7" t="n">
        <v>0.3086066999241838</v>
      </c>
      <c r="I44" s="7" t="n">
        <v>0.6172133998483676</v>
      </c>
    </row>
    <row r="45">
      <c r="A45" t="n">
        <v>8057970</v>
      </c>
      <c r="B45" t="inlineStr">
        <is>
          <t>CSAH 144 (141st Ave N) at James Rd/Rogers Dr</t>
        </is>
      </c>
      <c r="C45" t="inlineStr">
        <is>
          <t>2025-06-16</t>
        </is>
      </c>
      <c r="D45" t="inlineStr">
        <is>
          <t>12:45:00</t>
        </is>
      </c>
      <c r="E45" t="n">
        <v>397</v>
      </c>
      <c r="F45" t="n">
        <v>391</v>
      </c>
      <c r="G45" s="6" t="n">
        <v>-0.0151133501259445</v>
      </c>
      <c r="H45" s="7" t="n">
        <v>0.302275633115927</v>
      </c>
      <c r="I45" s="7" t="n">
        <v>0.6045512662318541</v>
      </c>
    </row>
    <row r="46">
      <c r="A46" t="n">
        <v>8052300</v>
      </c>
      <c r="B46" t="inlineStr">
        <is>
          <t>CSAH 110 (Commerce Blvd) at Sunnyfield Rd E</t>
        </is>
      </c>
      <c r="C46" t="inlineStr">
        <is>
          <t>2025-06-11</t>
        </is>
      </c>
      <c r="D46" t="inlineStr">
        <is>
          <t>12:15:00</t>
        </is>
      </c>
      <c r="E46" t="n">
        <v>256</v>
      </c>
      <c r="F46" t="n">
        <v>253</v>
      </c>
      <c r="G46" s="6" t="n">
        <v>-0.01171875</v>
      </c>
      <c r="H46" s="7" t="n">
        <v>0.1880517422421668</v>
      </c>
      <c r="I46" s="7" t="n">
        <v>0.3761034844843336</v>
      </c>
    </row>
    <row r="47">
      <c r="A47" t="n">
        <v>8048500</v>
      </c>
      <c r="B47" t="inlineStr">
        <is>
          <t>CSAH 1 (Pioneer Trail) at Mitchell Rd</t>
        </is>
      </c>
      <c r="C47" t="inlineStr">
        <is>
          <t>2025-06-04</t>
        </is>
      </c>
      <c r="D47" t="inlineStr">
        <is>
          <t>15:15:00</t>
        </is>
      </c>
      <c r="E47" t="n">
        <v>273</v>
      </c>
      <c r="F47" t="n">
        <v>270</v>
      </c>
      <c r="G47" s="6" t="n">
        <v>-0.0109890109890109</v>
      </c>
      <c r="H47" s="7" t="n">
        <v>0.1820691387103213</v>
      </c>
      <c r="I47" s="7" t="n">
        <v>0.3641382774206426</v>
      </c>
    </row>
    <row r="48">
      <c r="A48" t="n">
        <v>8055800</v>
      </c>
      <c r="B48" t="inlineStr">
        <is>
          <t>CSAH 144 (141st Ave N) at Rogers High School W Entr</t>
        </is>
      </c>
      <c r="C48" t="inlineStr">
        <is>
          <t>2025-06-19</t>
        </is>
      </c>
      <c r="D48" t="inlineStr">
        <is>
          <t>07:45:00</t>
        </is>
      </c>
      <c r="E48" t="n">
        <v>157</v>
      </c>
      <c r="F48" t="n">
        <v>159</v>
      </c>
      <c r="G48" s="6" t="n">
        <v>0.0127388535031847</v>
      </c>
      <c r="H48" s="7" t="n">
        <v>0.159111456835146</v>
      </c>
      <c r="I48" s="7" t="n">
        <v>0.318222913670292</v>
      </c>
    </row>
    <row r="49">
      <c r="A49" t="n">
        <v>8054600</v>
      </c>
      <c r="B49" t="inlineStr">
        <is>
          <t>CSAH 73 (Hopkins Crossroad) at Minnetonka Mills Rd / 5th St N</t>
        </is>
      </c>
      <c r="C49" t="inlineStr">
        <is>
          <t>2026-02-27</t>
        </is>
      </c>
      <c r="D49" t="inlineStr">
        <is>
          <t>07:45:00</t>
        </is>
      </c>
      <c r="E49" t="n">
        <v>269</v>
      </c>
      <c r="F49" t="n">
        <v>268</v>
      </c>
      <c r="G49" s="6" t="n">
        <v>-0.0037174721189591</v>
      </c>
      <c r="H49" s="7" t="n">
        <v>0.0610278197697353</v>
      </c>
      <c r="I49" s="7" t="n">
        <v>0.1220556395394706</v>
      </c>
    </row>
  </sheetData>
  <mergeCells count="2">
    <mergeCell ref="K21:R21"/>
    <mergeCell ref="K22:R2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3" customWidth="1" min="1" max="1"/>
    <col width="23" customWidth="1" min="2" max="2"/>
  </cols>
  <sheetData>
    <row r="1">
      <c r="A1" s="5" t="inlineStr">
        <is>
          <t>Metric</t>
        </is>
      </c>
      <c r="B1" s="5" t="inlineStr">
        <is>
          <t>Value</t>
        </is>
      </c>
    </row>
    <row r="2">
      <c r="A2" t="inlineStr">
        <is>
          <t>Intersections with data</t>
        </is>
      </c>
      <c r="B2" t="n">
        <v>48</v>
      </c>
    </row>
    <row r="3">
      <c r="A3" t="inlineStr">
        <is>
          <t>Mean % Difference</t>
        </is>
      </c>
      <c r="B3" s="6" t="n">
        <v>-0.02099205713857893</v>
      </c>
    </row>
    <row r="4">
      <c r="A4" t="inlineStr">
        <is>
          <t>Median % Difference</t>
        </is>
      </c>
      <c r="B4" s="6" t="n">
        <v>-0.03948051948051948</v>
      </c>
    </row>
    <row r="5">
      <c r="A5" t="inlineStr">
        <is>
          <t>Mean |% Difference|</t>
        </is>
      </c>
      <c r="B5" s="6" t="n">
        <v>0.1079219886231051</v>
      </c>
    </row>
    <row r="6">
      <c r="A6" t="inlineStr">
        <is>
          <t>Mean GEH (15-min, as collected)</t>
        </is>
      </c>
      <c r="B6" s="7" t="n">
        <v>1.851204311272128</v>
      </c>
    </row>
    <row r="7">
      <c r="A7" t="inlineStr">
        <is>
          <t>Median GEH (15-min, as collected)</t>
        </is>
      </c>
      <c r="B7" s="7" t="n">
        <v>0.9563179316652561</v>
      </c>
    </row>
    <row r="8">
      <c r="A8" t="inlineStr">
        <is>
          <t>Mean GEH (hourly-equivalent, x4 volume)</t>
        </is>
      </c>
      <c r="B8" s="7" t="n">
        <v>3.702408622544256</v>
      </c>
    </row>
    <row r="9">
      <c r="A9" t="inlineStr">
        <is>
          <t>Median GEH (hourly-equivalent, x4 volume)</t>
        </is>
      </c>
      <c r="B9" s="7" t="n">
        <v>1.912635863330512</v>
      </c>
    </row>
    <row r="10">
      <c r="A10" t="inlineStr">
        <is>
          <t>% Intersections GEH&lt;5 (15-min)</t>
        </is>
      </c>
      <c r="B10" s="6" t="n">
        <v>0.9166666666666665</v>
      </c>
    </row>
    <row r="11">
      <c r="A11" t="inlineStr">
        <is>
          <t>% Intersections GEH&lt;5 (hourly-equivalent)</t>
        </is>
      </c>
      <c r="B11" s="6" t="n">
        <v>0.7708333333333335</v>
      </c>
    </row>
    <row r="13" ht="45" customHeight="1">
      <c r="A13" s="9" t="inlineStr">
        <is>
          <t>Note: counts are 15-minute samples. GEH scales with sqrt(volume), so the conventional GEH&lt;5 threshold (calibrated for hourly volumes) is stricter once counts are scaled to an hourly-equivalent basis (x4 volume =&gt; GEH x2). Both figures are shown above rather than picking one.</t>
        </is>
      </c>
    </row>
  </sheetData>
  <mergeCells count="1">
    <mergeCell ref="A13:B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2" customWidth="1" min="3" max="3"/>
    <col width="13" customWidth="1" min="4" max="4"/>
    <col width="14" customWidth="1" min="5" max="5"/>
    <col width="14" customWidth="1" min="6" max="6"/>
    <col width="21" customWidth="1" min="7" max="7"/>
    <col width="20" customWidth="1" min="8" max="8"/>
    <col width="20" customWidth="1" min="9" max="9"/>
  </cols>
  <sheetData>
    <row r="1">
      <c r="A1" s="5" t="inlineStr">
        <is>
          <t>ID</t>
        </is>
      </c>
      <c r="B1" s="5" t="inlineStr">
        <is>
          <t>Intersection</t>
        </is>
      </c>
      <c r="C1" s="5" t="inlineStr">
        <is>
          <t>Date</t>
        </is>
      </c>
      <c r="D1" s="5" t="inlineStr">
        <is>
          <t>Time of Day</t>
        </is>
      </c>
      <c r="E1" s="5" t="inlineStr">
        <is>
          <t>Manual_Total</t>
        </is>
      </c>
      <c r="F1" s="5" t="inlineStr">
        <is>
          <t>Vision_Total</t>
        </is>
      </c>
      <c r="G1" s="5" t="inlineStr">
        <is>
          <t>Pct_Diff</t>
        </is>
      </c>
      <c r="H1" s="5" t="inlineStr">
        <is>
          <t>GEH_15min</t>
        </is>
      </c>
      <c r="I1" s="5" t="inlineStr">
        <is>
          <t>GEH_Hourly_Equiv</t>
        </is>
      </c>
    </row>
    <row r="2">
      <c r="A2" t="n">
        <v>8029100</v>
      </c>
      <c r="B2" t="inlineStr">
        <is>
          <t>CSAH 10 (Bass Lake Rd) at Sherburne Ave</t>
        </is>
      </c>
      <c r="C2" t="inlineStr">
        <is>
          <t>2026-01-12</t>
        </is>
      </c>
      <c r="D2" t="inlineStr">
        <is>
          <t>15:30:00</t>
        </is>
      </c>
      <c r="E2" t="n">
        <v>691</v>
      </c>
      <c r="F2" t="n">
        <v>428</v>
      </c>
      <c r="G2" s="6" t="n">
        <v>-0.3806078147612156</v>
      </c>
      <c r="H2" s="7" t="n">
        <v>11.11874328282899</v>
      </c>
      <c r="I2" s="7" t="n">
        <v>22.23748656565799</v>
      </c>
    </row>
    <row r="3">
      <c r="A3" t="n">
        <v>8021000</v>
      </c>
      <c r="B3" t="inlineStr">
        <is>
          <t>CSAH 10 (Bass Lake Rd) at Regent Ave</t>
        </is>
      </c>
      <c r="C3" t="inlineStr">
        <is>
          <t>2026-01-12</t>
        </is>
      </c>
      <c r="D3" t="inlineStr">
        <is>
          <t>15:00:00</t>
        </is>
      </c>
      <c r="E3" t="n">
        <v>305</v>
      </c>
      <c r="F3" t="n">
        <v>141</v>
      </c>
      <c r="G3" s="6" t="n">
        <v>-0.5377049180327869</v>
      </c>
      <c r="H3" s="7" t="n">
        <v>10.98225229499177</v>
      </c>
      <c r="I3" s="7" t="n">
        <v>21.96450458998354</v>
      </c>
    </row>
    <row r="4">
      <c r="A4" t="n">
        <v>8048500</v>
      </c>
      <c r="B4" t="inlineStr">
        <is>
          <t>CSAH 1 (Pioneer Trail) at Mitchell Rd</t>
        </is>
      </c>
      <c r="C4" t="inlineStr">
        <is>
          <t>2025-12-30</t>
        </is>
      </c>
      <c r="D4" t="inlineStr">
        <is>
          <t>15:15:00</t>
        </is>
      </c>
      <c r="E4" t="n">
        <v>200</v>
      </c>
      <c r="F4" t="n">
        <v>125</v>
      </c>
      <c r="G4" s="6" t="n">
        <v>-0.375</v>
      </c>
      <c r="H4" s="7" t="n">
        <v>5.883484054145521</v>
      </c>
      <c r="I4" s="7" t="n">
        <v>11.76696810829104</v>
      </c>
    </row>
    <row r="5">
      <c r="A5" t="n">
        <v>8022400</v>
      </c>
      <c r="B5" t="inlineStr">
        <is>
          <t>CSAH 1 (Old Shakopee Rd) at Xerxes Ave S</t>
        </is>
      </c>
      <c r="C5" t="inlineStr">
        <is>
          <t>2025-07-07</t>
        </is>
      </c>
      <c r="D5" t="inlineStr">
        <is>
          <t>15:00:00</t>
        </is>
      </c>
      <c r="E5" t="n">
        <v>477</v>
      </c>
      <c r="F5" t="n">
        <v>363</v>
      </c>
      <c r="G5" s="6" t="n">
        <v>-0.2389937106918239</v>
      </c>
      <c r="H5" s="7" t="n">
        <v>5.562630415806639</v>
      </c>
      <c r="I5" s="7" t="n">
        <v>11.12526083161328</v>
      </c>
    </row>
    <row r="6">
      <c r="A6" t="n">
        <v>8057300</v>
      </c>
      <c r="B6" t="inlineStr">
        <is>
          <t>CSAH 1 (Pioneer Trail) at CSAH 61 (Flying Cloud Dr)</t>
        </is>
      </c>
      <c r="C6" t="inlineStr">
        <is>
          <t>2025-12-26</t>
        </is>
      </c>
      <c r="D6" t="inlineStr">
        <is>
          <t>08:00:00</t>
        </is>
      </c>
      <c r="E6" t="n">
        <v>187</v>
      </c>
      <c r="F6" t="n">
        <v>262</v>
      </c>
      <c r="G6" s="6" t="n">
        <v>0.4010695187165775</v>
      </c>
      <c r="H6" s="7" t="n">
        <v>5.005564831994999</v>
      </c>
      <c r="I6" s="7" t="n">
        <v>10.01112966399</v>
      </c>
    </row>
    <row r="7">
      <c r="A7" t="n">
        <v>8018400</v>
      </c>
      <c r="B7" t="inlineStr">
        <is>
          <t>CSAH 1 (Old Shakopee Rd) at CSAH 34 (Normandale Blvd)</t>
        </is>
      </c>
      <c r="C7" t="inlineStr">
        <is>
          <t>2025-07-03</t>
        </is>
      </c>
      <c r="D7" t="inlineStr">
        <is>
          <t>12:45:00</t>
        </is>
      </c>
      <c r="E7" t="n">
        <v>699</v>
      </c>
      <c r="F7" t="n">
        <v>593</v>
      </c>
      <c r="G7" s="6" t="n">
        <v>-0.1516452074391988</v>
      </c>
      <c r="H7" s="7" t="n">
        <v>4.170514219432559</v>
      </c>
      <c r="I7" s="7" t="n">
        <v>8.341028438865118</v>
      </c>
    </row>
    <row r="8">
      <c r="A8" t="n">
        <v>8026700</v>
      </c>
      <c r="B8" t="inlineStr">
        <is>
          <t>CSAH 152 (Brooklyn Blvd) at 73rd Ave N / Regent Ave</t>
        </is>
      </c>
      <c r="C8" t="inlineStr">
        <is>
          <t>2026-06-16</t>
        </is>
      </c>
      <c r="D8" t="inlineStr">
        <is>
          <t>15:00:00</t>
        </is>
      </c>
      <c r="E8" t="n">
        <v>542</v>
      </c>
      <c r="F8" t="n">
        <v>474</v>
      </c>
      <c r="G8" s="6" t="n">
        <v>-0.1254612546125461</v>
      </c>
      <c r="H8" s="7" t="n">
        <v>3.017012132014787</v>
      </c>
      <c r="I8" s="7" t="n">
        <v>6.034024264029574</v>
      </c>
    </row>
    <row r="9">
      <c r="A9" t="n">
        <v>8014800</v>
      </c>
      <c r="B9" t="inlineStr">
        <is>
          <t>CSAH 136 (Silver Lake Rd) at 33rd Ave NE</t>
        </is>
      </c>
      <c r="C9" t="inlineStr">
        <is>
          <t>2026-02-20</t>
        </is>
      </c>
      <c r="D9" t="inlineStr">
        <is>
          <t>8:00AM</t>
        </is>
      </c>
      <c r="E9" t="n">
        <v>222</v>
      </c>
      <c r="F9" t="n">
        <v>180</v>
      </c>
      <c r="G9" s="6" t="n">
        <v>-0.1891891891891892</v>
      </c>
      <c r="H9" s="7" t="n">
        <v>2.962451586606113</v>
      </c>
      <c r="I9" s="7" t="n">
        <v>5.924903173212225</v>
      </c>
    </row>
    <row r="10">
      <c r="A10" t="n">
        <v>8038800</v>
      </c>
      <c r="B10" t="inlineStr">
        <is>
          <t>CSAH 10 (Bass Lake Rd) at Nathan Ln</t>
        </is>
      </c>
      <c r="C10" t="inlineStr">
        <is>
          <t>2025-07-07</t>
        </is>
      </c>
      <c r="D10" t="inlineStr">
        <is>
          <t>07:45:00</t>
        </is>
      </c>
      <c r="E10" t="n">
        <v>576</v>
      </c>
      <c r="F10" t="n">
        <v>525</v>
      </c>
      <c r="G10" s="6" t="n">
        <v>-0.0885416666666666</v>
      </c>
      <c r="H10" s="7" t="n">
        <v>2.17365950422944</v>
      </c>
      <c r="I10" s="7" t="n">
        <v>4.34731900845888</v>
      </c>
    </row>
    <row r="11">
      <c r="A11" t="n">
        <v>8020600</v>
      </c>
      <c r="B11" t="inlineStr">
        <is>
          <t>CSAH 5 (Minnetonka Blvd) at CSAH 16 (McGinty Rd W)</t>
        </is>
      </c>
      <c r="C11" t="inlineStr">
        <is>
          <t>2026-04-28</t>
        </is>
      </c>
      <c r="D11" t="inlineStr">
        <is>
          <t>08:00:00</t>
        </is>
      </c>
      <c r="E11" t="n">
        <v>515</v>
      </c>
      <c r="F11" t="n">
        <v>472</v>
      </c>
      <c r="G11" s="6" t="n">
        <v>-0.0834951456310679</v>
      </c>
      <c r="H11" s="7" t="n">
        <v>1.935641287407278</v>
      </c>
      <c r="I11" s="7" t="n">
        <v>3.871282574814556</v>
      </c>
    </row>
    <row r="12">
      <c r="A12" t="n">
        <v>8054100</v>
      </c>
      <c r="B12" t="inlineStr">
        <is>
          <t>CSAH 19 (Manitou Rd) at Smithtown Rd</t>
        </is>
      </c>
      <c r="C12" t="inlineStr">
        <is>
          <t>2026-03-30</t>
        </is>
      </c>
      <c r="D12" t="inlineStr">
        <is>
          <t>15:00:00</t>
        </is>
      </c>
      <c r="E12" t="n">
        <v>242</v>
      </c>
      <c r="F12" t="n">
        <v>216</v>
      </c>
      <c r="G12" s="6" t="n">
        <v>-0.1074380165289256</v>
      </c>
      <c r="H12" s="7" t="n">
        <v>1.718128361183233</v>
      </c>
      <c r="I12" s="7" t="n">
        <v>3.436256722366467</v>
      </c>
    </row>
    <row r="13">
      <c r="A13" t="n">
        <v>8005700</v>
      </c>
      <c r="B13" t="inlineStr">
        <is>
          <t>CSAH 17 (France Ave) at 65th St W</t>
        </is>
      </c>
      <c r="C13" t="inlineStr">
        <is>
          <t>2026-03-30</t>
        </is>
      </c>
      <c r="D13" t="inlineStr">
        <is>
          <t>07:45:00</t>
        </is>
      </c>
      <c r="E13" t="n">
        <v>472</v>
      </c>
      <c r="F13" t="n">
        <v>440</v>
      </c>
      <c r="G13" s="6" t="n">
        <v>-0.0677966101694915</v>
      </c>
      <c r="H13" s="7" t="n">
        <v>1.49853729853071</v>
      </c>
      <c r="I13" s="7" t="n">
        <v>2.997074597061421</v>
      </c>
    </row>
    <row r="14">
      <c r="A14" t="n">
        <v>8045400</v>
      </c>
      <c r="B14" t="inlineStr">
        <is>
          <t>CSAH 130 (West Broadway) at 76th Ave N</t>
        </is>
      </c>
      <c r="C14" t="inlineStr">
        <is>
          <t>2026-02-23</t>
        </is>
      </c>
      <c r="D14" t="inlineStr">
        <is>
          <t>15:00:00</t>
        </is>
      </c>
      <c r="E14" t="n">
        <v>295</v>
      </c>
      <c r="F14" t="n">
        <v>270</v>
      </c>
      <c r="G14" s="6" t="n">
        <v>-0.0847457627118644</v>
      </c>
      <c r="H14" s="7" t="n">
        <v>1.487410293271824</v>
      </c>
      <c r="I14" s="7" t="n">
        <v>2.974820586543648</v>
      </c>
    </row>
    <row r="15">
      <c r="A15" t="n">
        <v>8057890</v>
      </c>
      <c r="B15" t="inlineStr">
        <is>
          <t>CSAH 81 (Main St) at John Milless Dr / Industrial Blvd</t>
        </is>
      </c>
      <c r="C15" t="inlineStr">
        <is>
          <t>2026-03-13</t>
        </is>
      </c>
      <c r="D15" t="inlineStr">
        <is>
          <t>08:00:00</t>
        </is>
      </c>
      <c r="E15" t="n">
        <v>405</v>
      </c>
      <c r="F15" t="n">
        <v>433</v>
      </c>
      <c r="G15" s="6" t="n">
        <v>0.0691358024691358</v>
      </c>
      <c r="H15" s="7" t="n">
        <v>1.367889512488888</v>
      </c>
      <c r="I15" s="7" t="n">
        <v>2.735779024977776</v>
      </c>
    </row>
    <row r="16">
      <c r="A16" t="n">
        <v>8008400</v>
      </c>
      <c r="B16" t="inlineStr">
        <is>
          <t>CSAH 1 (Old Shakopee Rd) at CSAH 17 (France Ave)</t>
        </is>
      </c>
      <c r="C16" t="inlineStr">
        <is>
          <t>2025-07-08</t>
        </is>
      </c>
      <c r="D16" t="inlineStr">
        <is>
          <t>12:45:00</t>
        </is>
      </c>
      <c r="E16" t="n">
        <v>521</v>
      </c>
      <c r="F16" t="n">
        <v>552</v>
      </c>
      <c r="G16" s="6" t="n">
        <v>0.0595009596928982</v>
      </c>
      <c r="H16" s="7" t="n">
        <v>1.338371964506671</v>
      </c>
      <c r="I16" s="7" t="n">
        <v>2.676743929013342</v>
      </c>
    </row>
    <row r="17">
      <c r="A17" t="n">
        <v>8024100</v>
      </c>
      <c r="B17" t="inlineStr">
        <is>
          <t>CSAH 10 (Bass Lake Rd) at Zachary Ln BACKHAUL</t>
        </is>
      </c>
      <c r="C17" t="inlineStr">
        <is>
          <t>2026-01-08</t>
        </is>
      </c>
      <c r="D17" t="inlineStr">
        <is>
          <t>07:45:00</t>
        </is>
      </c>
      <c r="E17" t="n">
        <v>505</v>
      </c>
      <c r="F17" t="n">
        <v>535</v>
      </c>
      <c r="G17" s="6" t="n">
        <v>0.0594059405940594</v>
      </c>
      <c r="H17" s="7" t="n">
        <v>1.315587028960544</v>
      </c>
      <c r="I17" s="7" t="n">
        <v>2.631174057921088</v>
      </c>
    </row>
    <row r="18">
      <c r="A18" t="n">
        <v>8023800</v>
      </c>
      <c r="B18" t="inlineStr">
        <is>
          <t>CSAH 5 (Minnetonka Blvd) at CSAH 61 W Jct (Plymouth Rd)</t>
        </is>
      </c>
      <c r="C18" t="inlineStr">
        <is>
          <t>2026-04-27</t>
        </is>
      </c>
      <c r="D18" t="inlineStr">
        <is>
          <t>15:15:00</t>
        </is>
      </c>
      <c r="E18" t="n">
        <v>396</v>
      </c>
      <c r="F18" t="n">
        <v>375</v>
      </c>
      <c r="G18" s="6" t="n">
        <v>-0.053030303030303</v>
      </c>
      <c r="H18" s="7" t="n">
        <v>1.06956480476656</v>
      </c>
      <c r="I18" s="7" t="n">
        <v>2.139129609533121</v>
      </c>
    </row>
    <row r="19">
      <c r="A19" t="n">
        <v>8037200</v>
      </c>
      <c r="B19" t="inlineStr">
        <is>
          <t>CSAH 1 (Pioneer Trail) at CSAH 4  (Eden Prairie Rd)</t>
        </is>
      </c>
      <c r="C19" t="inlineStr">
        <is>
          <t>2025-12-24</t>
        </is>
      </c>
      <c r="D19" t="inlineStr">
        <is>
          <t>07:30:00</t>
        </is>
      </c>
      <c r="E19" t="n">
        <v>113</v>
      </c>
      <c r="F19" t="n">
        <v>102</v>
      </c>
      <c r="G19" s="6" t="n">
        <v>-0.0973451327433628</v>
      </c>
      <c r="H19" s="7" t="n">
        <v>1.060934208774907</v>
      </c>
      <c r="I19" s="7" t="n">
        <v>2.121868417549813</v>
      </c>
    </row>
    <row r="20">
      <c r="A20" t="n">
        <v>8051400</v>
      </c>
      <c r="B20" t="inlineStr">
        <is>
          <t>CSAH 1 (Pioneer Trail) at Dell Rd</t>
        </is>
      </c>
      <c r="C20" t="inlineStr">
        <is>
          <t>2025-12-29</t>
        </is>
      </c>
      <c r="D20" t="inlineStr">
        <is>
          <t>08:15:00</t>
        </is>
      </c>
      <c r="E20" t="n">
        <v>105</v>
      </c>
      <c r="F20" t="n">
        <v>116</v>
      </c>
      <c r="G20" s="6" t="n">
        <v>0.1047619047619047</v>
      </c>
      <c r="H20" s="7" t="n">
        <v>1.046433287139887</v>
      </c>
      <c r="I20" s="7" t="n">
        <v>2.092866574279774</v>
      </c>
    </row>
    <row r="21" ht="28" customHeight="1">
      <c r="A21" t="n">
        <v>8052700</v>
      </c>
      <c r="B21" t="inlineStr">
        <is>
          <t>CSAH 10 (Bass Lake Rd) at Vicksburg Ln</t>
        </is>
      </c>
      <c r="C21" t="inlineStr">
        <is>
          <t>2026-01-14</t>
        </is>
      </c>
      <c r="D21" t="inlineStr">
        <is>
          <t>11:45:00</t>
        </is>
      </c>
      <c r="E21" t="n">
        <v>313</v>
      </c>
      <c r="F21" t="n">
        <v>295</v>
      </c>
      <c r="G21" s="6" t="n">
        <v>-0.0575079872204472</v>
      </c>
      <c r="H21" s="7" t="n">
        <v>1.032370802417528</v>
      </c>
      <c r="I21" s="7" t="n">
        <v>2.064741604835056</v>
      </c>
      <c r="K21" s="9" t="inlineStr">
        <is>
          <t>Sorted highest to lowest GEH. Conventional threshold is GEH &lt; 5 (on hourly volumes) — see the Overview tab for why that needs care on 15-minute counts.</t>
        </is>
      </c>
    </row>
    <row r="22" ht="42" customHeight="1">
      <c r="A22" t="n">
        <v>8052000</v>
      </c>
      <c r="B22" t="inlineStr">
        <is>
          <t>CSAH 1 (Pioneer Trail) at Staring Lake Parkway</t>
        </is>
      </c>
      <c r="C22" t="inlineStr">
        <is>
          <t>2025-12-31</t>
        </is>
      </c>
      <c r="D22" t="inlineStr">
        <is>
          <t>08:30:00</t>
        </is>
      </c>
      <c r="E22" t="n">
        <v>93</v>
      </c>
      <c r="F22" t="n">
        <v>102</v>
      </c>
      <c r="G22" s="6" t="n">
        <v>0.09677419354838709</v>
      </c>
      <c r="H22" s="7" t="n">
        <v>0.9114654303753</v>
      </c>
      <c r="I22" s="7" t="n">
        <v>1.8229308607506</v>
      </c>
      <c r="K22" s="9" t="inlineStr">
        <is>
          <t>How to read this: each point is one intersection — x is the manually counted Total, y is the Vision Camera's Total for the same window. Points on the 1:1 line are a perfect match; points below it mean Vision undercounted. On average, Vision's Total was 4.3% lower than (undercounted) the manual count in 1st Calibration.</t>
        </is>
      </c>
    </row>
    <row r="23">
      <c r="A23" t="n">
        <v>8033400</v>
      </c>
      <c r="B23" t="inlineStr">
        <is>
          <t>CSAH 88 (New Brighton Blvd) at CSAH 94 (29th Ave NE)</t>
        </is>
      </c>
      <c r="C23" t="inlineStr">
        <is>
          <t>2026-04-20</t>
        </is>
      </c>
      <c r="D23" t="inlineStr">
        <is>
          <t>08:00:00</t>
        </is>
      </c>
      <c r="E23" t="n">
        <v>292</v>
      </c>
      <c r="F23" t="n">
        <v>279</v>
      </c>
      <c r="G23" s="6" t="n">
        <v>-0.0445205479452054</v>
      </c>
      <c r="H23" s="7" t="n">
        <v>0.7693789430238368</v>
      </c>
      <c r="I23" s="7" t="n">
        <v>1.538757886047674</v>
      </c>
    </row>
    <row r="24">
      <c r="A24" t="n">
        <v>8024800</v>
      </c>
      <c r="B24" t="inlineStr">
        <is>
          <t>CSAH 9 (Rockford Rd) at Larch Ln BACKHAUL</t>
        </is>
      </c>
      <c r="C24" t="inlineStr">
        <is>
          <t>2026-04-17</t>
        </is>
      </c>
      <c r="D24" t="inlineStr">
        <is>
          <t>15:00:00</t>
        </is>
      </c>
      <c r="E24" t="n">
        <v>477</v>
      </c>
      <c r="F24" t="n">
        <v>461</v>
      </c>
      <c r="G24" s="6" t="n">
        <v>-0.0335429769392033</v>
      </c>
      <c r="H24" s="7" t="n">
        <v>0.7388113544633762</v>
      </c>
      <c r="I24" s="7" t="n">
        <v>1.477622708926752</v>
      </c>
    </row>
    <row r="25">
      <c r="A25" t="n">
        <v>9010690</v>
      </c>
      <c r="B25" t="inlineStr">
        <is>
          <t>CSAH 121 (Maple Grove Pkwy) at Hospital Dr</t>
        </is>
      </c>
      <c r="C25" t="inlineStr">
        <is>
          <t>2026-02-19</t>
        </is>
      </c>
      <c r="D25" t="inlineStr">
        <is>
          <t>08:30:00</t>
        </is>
      </c>
      <c r="E25" t="n">
        <v>339</v>
      </c>
      <c r="F25" t="n">
        <v>327</v>
      </c>
      <c r="G25" s="6" t="n">
        <v>-0.0353982300884955</v>
      </c>
      <c r="H25" s="7" t="n">
        <v>0.6575959492214292</v>
      </c>
      <c r="I25" s="7" t="n">
        <v>1.315191898442858</v>
      </c>
    </row>
    <row r="26">
      <c r="A26" t="n">
        <v>8025900</v>
      </c>
      <c r="B26" t="inlineStr">
        <is>
          <t>CSAH 152 (Brooklyn Blvd) at 55th Ave N</t>
        </is>
      </c>
      <c r="C26" t="inlineStr">
        <is>
          <t>2026-05-21</t>
        </is>
      </c>
      <c r="D26" t="inlineStr">
        <is>
          <t>15:15:00</t>
        </is>
      </c>
      <c r="E26" t="n">
        <v>520</v>
      </c>
      <c r="F26" t="n">
        <v>506</v>
      </c>
      <c r="G26" s="6" t="n">
        <v>-0.0269230769230769</v>
      </c>
      <c r="H26" s="7" t="n">
        <v>0.6181150999636871</v>
      </c>
      <c r="I26" s="7" t="n">
        <v>1.236230199927374</v>
      </c>
    </row>
    <row r="27">
      <c r="A27" t="n">
        <v>8030800</v>
      </c>
      <c r="B27" t="inlineStr">
        <is>
          <t xml:space="preserve">CSAH 28 (E Bush Lake Rd) at 78th St W </t>
        </is>
      </c>
      <c r="C27" t="inlineStr">
        <is>
          <t>2026-03-30</t>
        </is>
      </c>
      <c r="D27" t="inlineStr">
        <is>
          <t>16:00:00</t>
        </is>
      </c>
      <c r="E27" t="n">
        <v>396</v>
      </c>
      <c r="F27" t="n">
        <v>408</v>
      </c>
      <c r="G27" s="6" t="n">
        <v>0.0303030303030303</v>
      </c>
      <c r="H27" s="7" t="n">
        <v>0.5985056016645798</v>
      </c>
      <c r="I27" s="7" t="n">
        <v>1.19701120332916</v>
      </c>
    </row>
    <row r="28">
      <c r="A28" t="n">
        <v>8040000</v>
      </c>
      <c r="B28" t="inlineStr">
        <is>
          <t>CSAH 101 (Central Ave) at 14th Ave N - Master Controller</t>
        </is>
      </c>
      <c r="C28" t="n">
        <v/>
      </c>
      <c r="D28" t="n">
        <v/>
      </c>
      <c r="E28" t="n">
        <v>478</v>
      </c>
      <c r="F28" t="n">
        <v>491</v>
      </c>
      <c r="G28" s="6" t="n">
        <v>0.0271966527196652</v>
      </c>
      <c r="H28" s="7" t="n">
        <v>0.5906041055515311</v>
      </c>
      <c r="I28" s="7" t="n">
        <v>1.181208211103062</v>
      </c>
    </row>
    <row r="29">
      <c r="A29" t="n">
        <v>8052100</v>
      </c>
      <c r="B29" t="inlineStr">
        <is>
          <t>CSAH 1 (Pioneer Trail) at Bennett Place</t>
        </is>
      </c>
      <c r="C29" t="inlineStr">
        <is>
          <t>2025-04-25</t>
        </is>
      </c>
      <c r="D29" t="inlineStr">
        <is>
          <t>07:45:00</t>
        </is>
      </c>
      <c r="E29" t="n">
        <v>273</v>
      </c>
      <c r="F29" t="n">
        <v>264</v>
      </c>
      <c r="G29" s="6" t="n">
        <v>-0.0329670329670329</v>
      </c>
      <c r="H29" s="7" t="n">
        <v>0.5492503779276181</v>
      </c>
      <c r="I29" s="7" t="n">
        <v>1.098500755855236</v>
      </c>
    </row>
    <row r="30">
      <c r="A30" t="n">
        <v>8056000</v>
      </c>
      <c r="B30" t="inlineStr">
        <is>
          <t>CSAH 10 (County Road 10) at CSAH 116 (Fletcher Ln)</t>
        </is>
      </c>
      <c r="C30" t="inlineStr">
        <is>
          <t>2026-01-09</t>
        </is>
      </c>
      <c r="D30" t="inlineStr">
        <is>
          <t>08:30:00</t>
        </is>
      </c>
      <c r="E30" t="n">
        <v>213</v>
      </c>
      <c r="F30" t="n">
        <v>206</v>
      </c>
      <c r="G30" s="6" t="n">
        <v>-0.0328638497652582</v>
      </c>
      <c r="H30" s="7" t="n">
        <v>0.4836219750974267</v>
      </c>
      <c r="I30" s="7" t="n">
        <v>0.9672439501948534</v>
      </c>
    </row>
    <row r="31">
      <c r="A31" t="n">
        <v>8026000</v>
      </c>
      <c r="B31" t="inlineStr">
        <is>
          <t>CSAH 152 (Brooklyn Blvd) at 63rd Ave N</t>
        </is>
      </c>
      <c r="C31" t="inlineStr">
        <is>
          <t>2026-05-22</t>
        </is>
      </c>
      <c r="D31" t="inlineStr">
        <is>
          <t>08:30:00</t>
        </is>
      </c>
      <c r="E31" t="n">
        <v>385</v>
      </c>
      <c r="F31" t="n">
        <v>394</v>
      </c>
      <c r="G31" s="6" t="n">
        <v>0.0233766233766233</v>
      </c>
      <c r="H31" s="7" t="n">
        <v>0.4560251327443259</v>
      </c>
      <c r="I31" s="7" t="n">
        <v>0.912050265488652</v>
      </c>
    </row>
    <row r="32">
      <c r="A32" t="n">
        <v>8037000</v>
      </c>
      <c r="B32" t="inlineStr">
        <is>
          <t>CSAH 152 (Brooklyn Blvd) at Cub Foods Driveway</t>
        </is>
      </c>
      <c r="C32" t="inlineStr">
        <is>
          <t>2026-06-16</t>
        </is>
      </c>
      <c r="D32" t="inlineStr">
        <is>
          <t>16:00:00</t>
        </is>
      </c>
      <c r="E32" t="n">
        <v>476</v>
      </c>
      <c r="F32" t="n">
        <v>486</v>
      </c>
      <c r="G32" s="6" t="n">
        <v>0.0210084033613445</v>
      </c>
      <c r="H32" s="7" t="n">
        <v>0.4559607525875532</v>
      </c>
      <c r="I32" s="7" t="n">
        <v>0.9119215051751064</v>
      </c>
    </row>
    <row r="33">
      <c r="A33" t="n">
        <v>8049100</v>
      </c>
      <c r="B33" t="inlineStr">
        <is>
          <t>CSAH 101 (County Rd 101) at Hutchins Dr</t>
        </is>
      </c>
      <c r="C33" t="inlineStr">
        <is>
          <t>2026-03-18</t>
        </is>
      </c>
      <c r="D33" t="inlineStr">
        <is>
          <t>15:00:00</t>
        </is>
      </c>
      <c r="E33" t="n">
        <v>514</v>
      </c>
      <c r="F33" t="n">
        <v>504</v>
      </c>
      <c r="G33" s="6" t="n">
        <v>-0.0194552529182879</v>
      </c>
      <c r="H33" s="7" t="n">
        <v>0.4432422071779362</v>
      </c>
      <c r="I33" s="7" t="n">
        <v>0.8864844143558724</v>
      </c>
    </row>
    <row r="34">
      <c r="A34" t="n">
        <v>9010695</v>
      </c>
      <c r="B34" t="inlineStr">
        <is>
          <t>CSAH 121 (Maple Grove Pkwy) at 99th Ave / Grove Cir</t>
        </is>
      </c>
      <c r="C34" t="inlineStr">
        <is>
          <t>2026-02-19</t>
        </is>
      </c>
      <c r="D34" t="inlineStr">
        <is>
          <t>15:15:00</t>
        </is>
      </c>
      <c r="E34" t="n">
        <v>574</v>
      </c>
      <c r="F34" t="n">
        <v>583</v>
      </c>
      <c r="G34" s="6" t="n">
        <v>0.0156794425087108</v>
      </c>
      <c r="H34" s="7" t="n">
        <v>0.3741888374667286</v>
      </c>
      <c r="I34" s="7" t="n">
        <v>0.7483776749334572</v>
      </c>
    </row>
    <row r="35">
      <c r="A35" t="n">
        <v>8058010</v>
      </c>
      <c r="B35" t="inlineStr">
        <is>
          <t>CSAH 73 (Hopkins Crossroad) at Wayzata Blvd / North Frontage Road</t>
        </is>
      </c>
      <c r="C35" t="inlineStr">
        <is>
          <t>2026-03-12</t>
        </is>
      </c>
      <c r="D35" t="inlineStr">
        <is>
          <t>16:00:00</t>
        </is>
      </c>
      <c r="E35" t="n">
        <v>437</v>
      </c>
      <c r="F35" t="n">
        <v>431</v>
      </c>
      <c r="G35" s="6" t="n">
        <v>-0.0137299771167048</v>
      </c>
      <c r="H35" s="7" t="n">
        <v>0.2880092164423916</v>
      </c>
      <c r="I35" s="7" t="n">
        <v>0.5760184328847832</v>
      </c>
    </row>
    <row r="36">
      <c r="A36" t="n">
        <v>8025600</v>
      </c>
      <c r="B36" t="inlineStr">
        <is>
          <t>CSAH 10 (Bass Lake Rd) at CSAH 152 (Brooklyn Blvd) - Master Controller</t>
        </is>
      </c>
      <c r="C36" t="inlineStr">
        <is>
          <t>2026-01-13</t>
        </is>
      </c>
      <c r="D36" t="inlineStr">
        <is>
          <t>08:30:00</t>
        </is>
      </c>
      <c r="E36" t="n">
        <v>385</v>
      </c>
      <c r="F36" t="n">
        <v>380</v>
      </c>
      <c r="G36" s="6" t="n">
        <v>-0.0129870129870129</v>
      </c>
      <c r="H36" s="7" t="n">
        <v>0.2556549962824568</v>
      </c>
      <c r="I36" s="7" t="n">
        <v>0.5113099925649136</v>
      </c>
    </row>
    <row r="37">
      <c r="A37" t="n">
        <v>8038300</v>
      </c>
      <c r="B37" t="inlineStr">
        <is>
          <t>CSAH 152 (Brooklyn Blvd) at Unity Ave N</t>
        </is>
      </c>
      <c r="C37" t="inlineStr">
        <is>
          <t>2026-06-17</t>
        </is>
      </c>
      <c r="D37" t="inlineStr">
        <is>
          <t>16:00:00</t>
        </is>
      </c>
      <c r="E37" t="n">
        <v>435</v>
      </c>
      <c r="F37" t="n">
        <v>430</v>
      </c>
      <c r="G37" s="6" t="n">
        <v>-0.0114942528735632</v>
      </c>
      <c r="H37" s="7" t="n">
        <v>0.2404235184171725</v>
      </c>
      <c r="I37" s="7" t="n">
        <v>0.480847036834345</v>
      </c>
    </row>
    <row r="38">
      <c r="A38" t="n">
        <v>8044600</v>
      </c>
      <c r="B38" t="inlineStr">
        <is>
          <t>CSAH 1 (Old Shakopee Rd) at Nesbitt Ave</t>
        </is>
      </c>
      <c r="C38" t="inlineStr">
        <is>
          <t>2025-07-07</t>
        </is>
      </c>
      <c r="D38" t="inlineStr">
        <is>
          <t>15:00:00</t>
        </is>
      </c>
      <c r="E38" t="n">
        <v>471</v>
      </c>
      <c r="F38" t="n">
        <v>466</v>
      </c>
      <c r="G38" s="6" t="n">
        <v>-0.0106157112526539</v>
      </c>
      <c r="H38" s="7" t="n">
        <v>0.2310017163491287</v>
      </c>
      <c r="I38" s="7" t="n">
        <v>0.4620034326982575</v>
      </c>
    </row>
    <row r="39">
      <c r="A39" t="n">
        <v>8031600</v>
      </c>
      <c r="B39" t="inlineStr">
        <is>
          <t>CSAH 10 (Bass Lake Rd) at Sycamore Ln / Prudential Bldg - Master Controller</t>
        </is>
      </c>
      <c r="C39" t="inlineStr">
        <is>
          <t>2026-01-06</t>
        </is>
      </c>
      <c r="D39" t="inlineStr">
        <is>
          <t>12:45:00</t>
        </is>
      </c>
      <c r="E39" t="n">
        <v>301</v>
      </c>
      <c r="F39" t="n">
        <v>305</v>
      </c>
      <c r="G39" s="6" t="n">
        <v>0.0132890365448504</v>
      </c>
      <c r="H39" s="7" t="n">
        <v>0.2297939958485704</v>
      </c>
      <c r="I39" s="7" t="n">
        <v>0.4595879916971409</v>
      </c>
    </row>
    <row r="40">
      <c r="A40" t="n">
        <v>8057600</v>
      </c>
      <c r="B40" t="inlineStr">
        <is>
          <t>CSAH 61 (Flying Cloud Dr) at Singletree Ln</t>
        </is>
      </c>
      <c r="C40" t="inlineStr">
        <is>
          <t>2026-04-14</t>
        </is>
      </c>
      <c r="D40" t="inlineStr">
        <is>
          <t>16:00:00</t>
        </is>
      </c>
      <c r="E40" t="n">
        <v>601</v>
      </c>
      <c r="F40" t="n">
        <v>596</v>
      </c>
      <c r="G40" s="6" t="n">
        <v>-0.0083194675540765</v>
      </c>
      <c r="H40" s="7" t="n">
        <v>0.2043797798283219</v>
      </c>
      <c r="I40" s="7" t="n">
        <v>0.4087595596566438</v>
      </c>
    </row>
    <row r="41">
      <c r="A41" t="n">
        <v>8026600</v>
      </c>
      <c r="B41" t="inlineStr">
        <is>
          <t>CSAH 152 (Brooklyn Blvd) at Noble Ave / 71st Ave</t>
        </is>
      </c>
      <c r="C41" t="inlineStr">
        <is>
          <t>2026-06-17</t>
        </is>
      </c>
      <c r="D41" t="inlineStr">
        <is>
          <t>08:00:00</t>
        </is>
      </c>
      <c r="E41" t="n">
        <v>402</v>
      </c>
      <c r="F41" t="n">
        <v>406</v>
      </c>
      <c r="G41" s="6" t="n">
        <v>0.0099502487562189</v>
      </c>
      <c r="H41" s="7" t="n">
        <v>0.1990074380419978</v>
      </c>
      <c r="I41" s="7" t="n">
        <v>0.3980148760839956</v>
      </c>
    </row>
    <row r="42">
      <c r="A42" t="n">
        <v>8057550</v>
      </c>
      <c r="B42" t="inlineStr">
        <is>
          <t>CSAH 61 (Flying Cloud Dr) at Regional Center Rd</t>
        </is>
      </c>
      <c r="C42" t="inlineStr">
        <is>
          <t>2026-04-14</t>
        </is>
      </c>
      <c r="D42" t="inlineStr">
        <is>
          <t>15:00:00</t>
        </is>
      </c>
      <c r="E42" t="n">
        <v>431</v>
      </c>
      <c r="F42" t="n">
        <v>428</v>
      </c>
      <c r="G42" s="6" t="n">
        <v>-0.0069605568445475</v>
      </c>
      <c r="H42" s="7" t="n">
        <v>0.1447570321960142</v>
      </c>
      <c r="I42" s="7" t="n">
        <v>0.2895140643920285</v>
      </c>
    </row>
    <row r="43">
      <c r="A43" t="n">
        <v>8051900</v>
      </c>
      <c r="B43" t="inlineStr">
        <is>
          <t>CSAH 109 (85th Ave N) at Edinbrook Pkwy N</t>
        </is>
      </c>
      <c r="C43" t="inlineStr">
        <is>
          <t>2026-02-20</t>
        </is>
      </c>
      <c r="D43" t="inlineStr">
        <is>
          <t>08:30:00</t>
        </is>
      </c>
      <c r="E43" t="n">
        <v>209</v>
      </c>
      <c r="F43" t="n">
        <v>211</v>
      </c>
      <c r="G43" s="6" t="n">
        <v>0.009569377990430601</v>
      </c>
      <c r="H43" s="7" t="n">
        <v>0.1380131118684708</v>
      </c>
      <c r="I43" s="7" t="n">
        <v>0.2760262237369417</v>
      </c>
    </row>
    <row r="44">
      <c r="A44" t="n">
        <v>8033300</v>
      </c>
      <c r="B44" t="inlineStr">
        <is>
          <t>CSAH 88 (New Brighton Blvd) at St Anthony Blvd</t>
        </is>
      </c>
      <c r="C44" t="inlineStr">
        <is>
          <t>2026-05-04</t>
        </is>
      </c>
      <c r="D44" t="inlineStr">
        <is>
          <t>08:00:00</t>
        </is>
      </c>
      <c r="E44" t="n">
        <v>431</v>
      </c>
      <c r="F44" t="n">
        <v>429</v>
      </c>
      <c r="G44" s="6" t="n">
        <v>-0.0046403712296983</v>
      </c>
      <c r="H44" s="7" t="n">
        <v>0.0964485644340824</v>
      </c>
      <c r="I44" s="7" t="n">
        <v>0.1928971288681648</v>
      </c>
    </row>
    <row r="45">
      <c r="A45" t="n">
        <v>8037300</v>
      </c>
      <c r="B45" t="inlineStr">
        <is>
          <t>CSAH 1 (Pioneer Trail) at Homeward Hills Rd</t>
        </is>
      </c>
      <c r="C45" t="inlineStr">
        <is>
          <t>2025-12-29</t>
        </is>
      </c>
      <c r="D45" t="inlineStr">
        <is>
          <t>08:30:00</t>
        </is>
      </c>
      <c r="E45" t="n">
        <v>223</v>
      </c>
      <c r="F45" t="n">
        <v>222</v>
      </c>
      <c r="G45" s="6" t="n">
        <v>-0.0044843049327354</v>
      </c>
      <c r="H45" s="7" t="n">
        <v>0.067040152315399</v>
      </c>
      <c r="I45" s="7" t="n">
        <v>0.1340803046307981</v>
      </c>
    </row>
    <row r="46">
      <c r="A46" t="n">
        <v>8026100</v>
      </c>
      <c r="B46" t="inlineStr">
        <is>
          <t>CSAH 152 (Brooklyn Blvd) at 65th Ave N</t>
        </is>
      </c>
      <c r="C46" t="inlineStr">
        <is>
          <t>2026-05-22</t>
        </is>
      </c>
      <c r="D46" t="inlineStr">
        <is>
          <t>15:15:00</t>
        </is>
      </c>
      <c r="E46" t="n">
        <v>621</v>
      </c>
      <c r="F46" t="n">
        <v>620</v>
      </c>
      <c r="G46" s="6" t="n">
        <v>-0.001610305958132</v>
      </c>
      <c r="H46" s="7" t="n">
        <v>0.040144782295185</v>
      </c>
      <c r="I46" s="7" t="n">
        <v>0.08028956459037</v>
      </c>
    </row>
    <row r="47">
      <c r="A47" t="n">
        <v>8026800</v>
      </c>
      <c r="B47" t="inlineStr">
        <is>
          <t>CSAH 152 (Brooklyn Blvd / Osseo Rd) at 49th Ave N BACKHAUL</t>
        </is>
      </c>
      <c r="C47" t="inlineStr">
        <is>
          <t>2026-05-21</t>
        </is>
      </c>
      <c r="D47" t="inlineStr">
        <is>
          <t>07:15:00</t>
        </is>
      </c>
      <c r="E47" t="n">
        <v>226</v>
      </c>
      <c r="F47" t="n">
        <v>226</v>
      </c>
      <c r="G47" s="6" t="n">
        <v>0</v>
      </c>
      <c r="H47" s="7" t="n">
        <v>0</v>
      </c>
      <c r="I47" s="7" t="n">
        <v>0</v>
      </c>
    </row>
    <row r="48">
      <c r="A48" t="n">
        <v>9010720</v>
      </c>
      <c r="B48" t="inlineStr">
        <is>
          <t>CSAH 30 (93rd Ave) at CSAH 121 (Maple Grove Pkwy)</t>
        </is>
      </c>
      <c r="C48" t="inlineStr">
        <is>
          <t>2026-03-24</t>
        </is>
      </c>
      <c r="D48" t="inlineStr">
        <is>
          <t>12:15:00</t>
        </is>
      </c>
      <c r="E48" t="n">
        <v>585</v>
      </c>
      <c r="F48" t="n">
        <v>585</v>
      </c>
      <c r="G48" s="6" t="n">
        <v>0</v>
      </c>
      <c r="H48" s="7" t="n">
        <v>0</v>
      </c>
      <c r="I48" s="7" t="n">
        <v>0</v>
      </c>
    </row>
  </sheetData>
  <mergeCells count="2">
    <mergeCell ref="K21:R21"/>
    <mergeCell ref="K22:R2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3" customWidth="1" min="1" max="1"/>
    <col width="23" customWidth="1" min="2" max="2"/>
  </cols>
  <sheetData>
    <row r="1">
      <c r="A1" s="5" t="inlineStr">
        <is>
          <t>Metric</t>
        </is>
      </c>
      <c r="B1" s="5" t="inlineStr">
        <is>
          <t>Value</t>
        </is>
      </c>
    </row>
    <row r="2">
      <c r="A2" t="inlineStr">
        <is>
          <t>Intersections with data</t>
        </is>
      </c>
      <c r="B2" t="n">
        <v>47</v>
      </c>
    </row>
    <row r="3">
      <c r="A3" t="inlineStr">
        <is>
          <t>Mean % Difference</t>
        </is>
      </c>
      <c r="B3" s="6" t="n">
        <v>-0.04251052154001571</v>
      </c>
    </row>
    <row r="4">
      <c r="A4" t="inlineStr">
        <is>
          <t>Median % Difference</t>
        </is>
      </c>
      <c r="B4" s="6" t="n">
        <v>-0.01298701298701299</v>
      </c>
    </row>
    <row r="5">
      <c r="A5" t="inlineStr">
        <is>
          <t>Mean |% Difference|</t>
        </is>
      </c>
      <c r="B5" s="6" t="n">
        <v>0.08255397410783856</v>
      </c>
    </row>
    <row r="6">
      <c r="A6" t="inlineStr">
        <is>
          <t>Mean GEH (15-min, as collected)</t>
        </is>
      </c>
      <c r="B6" s="7" t="n">
        <v>1.6069919413422</v>
      </c>
    </row>
    <row r="7">
      <c r="A7" t="inlineStr">
        <is>
          <t>Median GEH (15-min, as collected)</t>
        </is>
      </c>
      <c r="B7" s="7" t="n">
        <v>0.6575959492214292</v>
      </c>
    </row>
    <row r="8">
      <c r="A8" t="inlineStr">
        <is>
          <t>Mean GEH (hourly-equivalent, x4 volume)</t>
        </is>
      </c>
      <c r="B8" s="7" t="n">
        <v>3.2139838826844</v>
      </c>
    </row>
    <row r="9">
      <c r="A9" t="inlineStr">
        <is>
          <t>Median GEH (hourly-equivalent, x4 volume)</t>
        </is>
      </c>
      <c r="B9" s="7" t="n">
        <v>1.315191898442858</v>
      </c>
    </row>
    <row r="10">
      <c r="A10" t="inlineStr">
        <is>
          <t>% Intersections GEH&lt;5 (15-min)</t>
        </is>
      </c>
      <c r="B10" s="6" t="n">
        <v>0.8936170212765957</v>
      </c>
    </row>
    <row r="11">
      <c r="A11" t="inlineStr">
        <is>
          <t>% Intersections GEH&lt;5 (hourly-equivalent)</t>
        </is>
      </c>
      <c r="B11" s="6" t="n">
        <v>0.8297872340425532</v>
      </c>
    </row>
    <row r="13" ht="45" customHeight="1">
      <c r="A13" s="9" t="inlineStr">
        <is>
          <t>Note: counts are 15-minute samples. GEH scales with sqrt(volume), so the conventional GEH&lt;5 threshold (calibrated for hourly volumes) is stricter once counts are scaled to an hourly-equivalent basis (x4 volume =&gt; GEH x2). Both figures are shown above rather than picking one.</t>
        </is>
      </c>
    </row>
  </sheetData>
  <mergeCells count="1">
    <mergeCell ref="A13:B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2026-07-06T15:07:13Z</dcterms:created>
  <dcterms:modified xsi:type="dcterms:W3CDTF">2026-07-06T15:07:13Z</dcterms:modified>
</cp:coreProperties>
</file>